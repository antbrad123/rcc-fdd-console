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ault Tables" sheetId="1" state="visible" r:id="rId3"/>
    <sheet name="How To Use" sheetId="2" state="visible" r:id="rId4"/>
  </sheets>
  <definedNames>
    <definedName function="false" hidden="true" localSheetId="0" name="_xlnm._FilterDatabase" vbProcedure="false">'Fault Tables'!$A$1:$I$181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<sst xmlns="http://schemas.openxmlformats.org/spreadsheetml/2006/main" count="1371" uniqueCount="809">
  <si>
    <t xml:space="preserve">Equipment</t>
  </si>
  <si>
    <t xml:space="preserve">Ref</t>
  </si>
  <si>
    <t xml:space="preserve">Fault</t>
  </si>
  <si>
    <t xml:space="preserve">Severity</t>
  </si>
  <si>
    <t xml:space="preserve">OOH</t>
  </si>
  <si>
    <t xml:space="preserve">Applies when</t>
  </si>
  <si>
    <t xml:space="preserve">Data needed</t>
  </si>
  <si>
    <t xml:space="preserve">Design intent &amp; typical defaults</t>
  </si>
  <si>
    <t xml:space="preserve">Notes (working)</t>
  </si>
  <si>
    <t xml:space="preserve">AHU</t>
  </si>
  <si>
    <t xml:space="preserve">AHU-01</t>
  </si>
  <si>
    <t xml:space="preserve">Supply Fan Failed</t>
  </si>
  <si>
    <t xml:space="preserve">Critical</t>
  </si>
  <si>
    <t xml:space="preserve">Y</t>
  </si>
  <si>
    <t xml:space="preserve">Always</t>
  </si>
  <si>
    <t xml:space="preserve">fan_cmd, fan_status</t>
  </si>
  <si>
    <t xml:space="preserve">Commanded ON, 90s ramp grace, no proof for 5 min. Parent fault: suppresses the unit's downstream alerts.</t>
  </si>
  <si>
    <t xml:space="preserve">AHU-02</t>
  </si>
  <si>
    <t xml:space="preserve">Fan Running in Hand</t>
  </si>
  <si>
    <t xml:space="preserve">Warning</t>
  </si>
  <si>
    <t xml:space="preserve">Commanded OFF &gt;= 5 min, status ON for 30 min.</t>
  </si>
  <si>
    <t xml:space="preserve">AHU-03</t>
  </si>
  <si>
    <t xml:space="preserve">Fan Short Cycling</t>
  </si>
  <si>
    <t xml:space="preserve">fan_status</t>
  </si>
  <si>
    <t xml:space="preserve">&gt; 4 starts per rolling hour, 2 consecutive hours.</t>
  </si>
  <si>
    <t xml:space="preserve">AHU-04</t>
  </si>
  <si>
    <t xml:space="preserve">Sensor Flatlined</t>
  </si>
  <si>
    <t xml:space="preserve">each bound analog</t>
  </si>
  <si>
    <t xml:space="preserve">No change beyond deadband for 4 h while running. Suppresses alerts using that point.</t>
  </si>
  <si>
    <t xml:space="preserve">AHU-05</t>
  </si>
  <si>
    <t xml:space="preserve">Sensor Reading Implausible</t>
  </si>
  <si>
    <t xml:space="preserve">Outside plausibility band (e.g. SAT -5 to 60 C) for 30 min.</t>
  </si>
  <si>
    <t xml:space="preserve">AHU-06</t>
  </si>
  <si>
    <t xml:space="preserve">Running Outside Schedule</t>
  </si>
  <si>
    <t xml:space="preserve">fan_status, occupancy schedule</t>
  </si>
  <si>
    <t xml:space="preserve">ON &gt;= 60 min beyond schedule plus after-hours allowance.</t>
  </si>
  <si>
    <t xml:space="preserve">AHU-07</t>
  </si>
  <si>
    <t xml:space="preserve">Failed to Start on Schedule</t>
  </si>
  <si>
    <t xml:space="preserve">schedule, fan_status</t>
  </si>
  <si>
    <t xml:space="preserve">Occupied per schedule, no proof within 15 min of expected start.</t>
  </si>
  <si>
    <t xml:space="preserve">AHU-08</t>
  </si>
  <si>
    <t xml:space="preserve">Excessive Continuous Runtime</t>
  </si>
  <si>
    <t xml:space="preserve">Alert</t>
  </si>
  <si>
    <t xml:space="preserve">Continuous run &gt; 24 h where unit not designated 24/7.</t>
  </si>
  <si>
    <t xml:space="preserve">AHU-09</t>
  </si>
  <si>
    <t xml:space="preserve">Heating Valve Passing</t>
  </si>
  <si>
    <t xml:space="preserve">Heating coil</t>
  </si>
  <si>
    <t xml:space="preserve">htg_valve, SAT, MAT/RAT</t>
  </si>
  <si>
    <t xml:space="preserve">Valve &lt; 2%, fan ON, SAT &gt; MAT + 3 C for 60 min.</t>
  </si>
  <si>
    <t xml:space="preserve">AHU-10</t>
  </si>
  <si>
    <t xml:space="preserve">Heating Valve Hunting</t>
  </si>
  <si>
    <t xml:space="preserve">htg_valve</t>
  </si>
  <si>
    <t xml:space="preserve">Command reversals &gt; 6/hr with span &gt; 20%, 2 h.</t>
  </si>
  <si>
    <t xml:space="preserve">AHU-11</t>
  </si>
  <si>
    <t xml:space="preserve">Not Achieving Supply Temp (Htg)</t>
  </si>
  <si>
    <t xml:space="preserve">SAT, SAT_sp, htg_valve</t>
  </si>
  <si>
    <t xml:space="preserve">Valve &gt;= 95%, SAT &lt; SP - 2 C for 45 min, occupied.</t>
  </si>
  <si>
    <t xml:space="preserve">AHU-12</t>
  </si>
  <si>
    <t xml:space="preserve">Cooling Valve Passing</t>
  </si>
  <si>
    <t xml:space="preserve">Cooling coil</t>
  </si>
  <si>
    <t xml:space="preserve">clg_valve, SAT, MAT/RAT</t>
  </si>
  <si>
    <t xml:space="preserve">Valve &lt; 2%, fan ON, SAT &lt; MAT - 3 C for 60 min.</t>
  </si>
  <si>
    <t xml:space="preserve">AHU-13</t>
  </si>
  <si>
    <t xml:space="preserve">Cooling Valve Hunting</t>
  </si>
  <si>
    <t xml:space="preserve">clg_valve</t>
  </si>
  <si>
    <t xml:space="preserve">As heating valve hunting, cooling valve.</t>
  </si>
  <si>
    <t xml:space="preserve">AHU-14</t>
  </si>
  <si>
    <t xml:space="preserve">Not Achieving Supply Temp (Clg)</t>
  </si>
  <si>
    <t xml:space="preserve">SAT, SAT_sp, clg_valve</t>
  </si>
  <si>
    <t xml:space="preserve">Valve &gt;= 95%, SAT &gt; SP + 2 C for 45 min, occupied.</t>
  </si>
  <si>
    <t xml:space="preserve">AHU-15</t>
  </si>
  <si>
    <t xml:space="preserve">Heating and Cooling Together</t>
  </si>
  <si>
    <t xml:space="preserve">Both coils</t>
  </si>
  <si>
    <t xml:space="preserve">htg_valve, clg_valve</t>
  </si>
  <si>
    <t xml:space="preserve">Both &gt; 10% concurrently for 30 min, fan ON, 30 min past start.</t>
  </si>
  <si>
    <t xml:space="preserve">AHU-16</t>
  </si>
  <si>
    <t xml:space="preserve">Free Cooling Not Used</t>
  </si>
  <si>
    <t xml:space="preserve">Economizer</t>
  </si>
  <si>
    <t xml:space="preserve">OAT, RAT, oa_damper, cooling demand</t>
  </si>
  <si>
    <t xml:space="preserve">Cooling cmd &gt; 15%, OAT &lt; RAT - 2 C, OAT &gt; 4 C, damper &lt; 25%, 45 min. Use enthalpy comparison where humidity sensors exist.</t>
  </si>
  <si>
    <t xml:space="preserve">AHU-17</t>
  </si>
  <si>
    <t xml:space="preserve">Economising in Wrong Conditions</t>
  </si>
  <si>
    <t xml:space="preserve">OAT, RAT, oa_damper</t>
  </si>
  <si>
    <t xml:space="preserve">Damper &gt; minimum while OAT &gt; RAT + 1 C for 45 min.</t>
  </si>
  <si>
    <t xml:space="preserve">AHU-18</t>
  </si>
  <si>
    <t xml:space="preserve">OA Damper Not Responding</t>
  </si>
  <si>
    <t xml:space="preserve">oa_damper, MAT, OAT, RAT</t>
  </si>
  <si>
    <t xml:space="preserve">Command change &gt; 30%, MAT fails to move toward expected mix, 30 min.</t>
  </si>
  <si>
    <t xml:space="preserve">AHU-19</t>
  </si>
  <si>
    <t xml:space="preserve">Minimum Fresh Air Not Maintained</t>
  </si>
  <si>
    <t xml:space="preserve">oa_damper (+ MAT or OA flow)</t>
  </si>
  <si>
    <t xml:space="preserve">Occupied, damper &lt; configured minimum for 30 min.</t>
  </si>
  <si>
    <t xml:space="preserve">AHU-20</t>
  </si>
  <si>
    <t xml:space="preserve">Duct Pressure Not Achieved</t>
  </si>
  <si>
    <t xml:space="preserve">VFD + static sensor</t>
  </si>
  <si>
    <t xml:space="preserve">static_p, static_sp, fan_speed</t>
  </si>
  <si>
    <t xml:space="preserve">Speed &gt;= 95%, static &lt; SP - tolerance for 30 min.</t>
  </si>
  <si>
    <t xml:space="preserve">AHU-21</t>
  </si>
  <si>
    <t xml:space="preserve">Fan Speed Saturated</t>
  </si>
  <si>
    <t xml:space="preserve">VFD</t>
  </si>
  <si>
    <t xml:space="preserve">fan_speed</t>
  </si>
  <si>
    <t xml:space="preserve">&gt;= 95% for &gt; 4 h occupied. Sizing / setpoint lead indicator.</t>
  </si>
  <si>
    <t xml:space="preserve">AHU-22</t>
  </si>
  <si>
    <t xml:space="preserve">Fan Speed Not Following Command</t>
  </si>
  <si>
    <t xml:space="preserve">speed_cmd, speed_fb</t>
  </si>
  <si>
    <t xml:space="preserve">|cmd - feedback| &gt; 10% for 15 min.</t>
  </si>
  <si>
    <t xml:space="preserve">AHU-23</t>
  </si>
  <si>
    <t xml:space="preserve">Filter Requires Replacement</t>
  </si>
  <si>
    <t xml:space="preserve">Filter dP sensor</t>
  </si>
  <si>
    <t xml:space="preserve">filter_dp, fan_status</t>
  </si>
  <si>
    <t xml:space="preserve">dP &gt; threshold at representative speed for 2 h. Feeds PPM, not dispatch.</t>
  </si>
  <si>
    <t xml:space="preserve">AHU-24</t>
  </si>
  <si>
    <t xml:space="preserve">Filter Sensor Suspect</t>
  </si>
  <si>
    <t xml:space="preserve">filter_dp, fan speed</t>
  </si>
  <si>
    <t xml:space="preserve">dP near zero with fan at speed for 2 h.</t>
  </si>
  <si>
    <t xml:space="preserve">AHU-25</t>
  </si>
  <si>
    <t xml:space="preserve">Extract Fan Failed</t>
  </si>
  <si>
    <t xml:space="preserve">Extract fan fitted</t>
  </si>
  <si>
    <t xml:space="preserve">ext_fan_cmd, ext_fan_status</t>
  </si>
  <si>
    <t xml:space="preserve">Commanded ON, 90s ramp grace, no proof for 5 min.</t>
  </si>
  <si>
    <t xml:space="preserve">AHU-26</t>
  </si>
  <si>
    <t xml:space="preserve">Frost Stat Tripped</t>
  </si>
  <si>
    <t xml:space="preserve">Frost stat point visible</t>
  </si>
  <si>
    <t xml:space="preserve">freeze stat status</t>
  </si>
  <si>
    <t xml:space="preserve">Trip active for 5 min. Unit held off — check coil protection, valve positions, glycol.</t>
  </si>
  <si>
    <t xml:space="preserve">AHU-27</t>
  </si>
  <si>
    <t xml:space="preserve">Coil Valve Not Responding</t>
  </si>
  <si>
    <t xml:space="preserve">Any coil</t>
  </si>
  <si>
    <t xml:space="preserve">valve cmd, SAT</t>
  </si>
  <si>
    <t xml:space="preserve">Command change &gt; 30%, SAT fails to move in the expected direction for 30 min (stuck / failed actuator).</t>
  </si>
  <si>
    <t xml:space="preserve">AHU-28</t>
  </si>
  <si>
    <t xml:space="preserve">Heat Recovery Device Failure</t>
  </si>
  <si>
    <t xml:space="preserve">Heat recovery fitted</t>
  </si>
  <si>
    <t xml:space="preserve">device status or temps both sides</t>
  </si>
  <si>
    <t xml:space="preserve">Device running with no temperature effectiveness for 60 min, or fault point active.</t>
  </si>
  <si>
    <t xml:space="preserve">AHU-29</t>
  </si>
  <si>
    <t xml:space="preserve">High Space CO2</t>
  </si>
  <si>
    <t xml:space="preserve">CO2 sensor</t>
  </si>
  <si>
    <t xml:space="preserve">zone CO2</t>
  </si>
  <si>
    <t xml:space="preserve">Above limit (e.g. 1200 ppm) for 30 min occupied. Ventilation shortfall.</t>
  </si>
  <si>
    <t xml:space="preserve">AHU-30</t>
  </si>
  <si>
    <t xml:space="preserve">Space Humidity Out of Bounds</t>
  </si>
  <si>
    <t xml:space="preserve">Humidity sensor</t>
  </si>
  <si>
    <t xml:space="preserve">zone RH</t>
  </si>
  <si>
    <t xml:space="preserve">Outside band (e.g. 30–65%) for 2 h occupied.</t>
  </si>
  <si>
    <t xml:space="preserve">AHU-31</t>
  </si>
  <si>
    <t xml:space="preserve">Return Air Temp Drift</t>
  </si>
  <si>
    <t xml:space="preserve">RAT sensor</t>
  </si>
  <si>
    <t xml:space="preserve">RAT, zone temps</t>
  </si>
  <si>
    <t xml:space="preserve">RAT diverging from zone average by &gt; 3 C for 2 h (placement / stratification / bypass).</t>
  </si>
  <si>
    <t xml:space="preserve">AHU-32</t>
  </si>
  <si>
    <t xml:space="preserve">Night Purge Opportunity Missed</t>
  </si>
  <si>
    <t xml:space="preserve">Night purge strategy</t>
  </si>
  <si>
    <t xml:space="preserve">OAT, zone temps, fan status</t>
  </si>
  <si>
    <t xml:space="preserve">Favourable overnight conditions, purge not run, pre-cooling demand next morning.</t>
  </si>
  <si>
    <t xml:space="preserve">FCU</t>
  </si>
  <si>
    <t xml:space="preserve">FCU-01</t>
  </si>
  <si>
    <t xml:space="preserve">Fan Failed</t>
  </si>
  <si>
    <t xml:space="preserve">Fan proof exists</t>
  </si>
  <si>
    <t xml:space="preserve">Commanded ON, no proof for 5 min. No proof point on the unit = Blocked.</t>
  </si>
  <si>
    <t xml:space="preserve">FCU-02</t>
  </si>
  <si>
    <t xml:space="preserve">FCU-03</t>
  </si>
  <si>
    <t xml:space="preserve">No change beyond deadband for 4 h.</t>
  </si>
  <si>
    <t xml:space="preserve">FCU-04</t>
  </si>
  <si>
    <t xml:space="preserve">Outside plausibility band for 30 min.</t>
  </si>
  <si>
    <t xml:space="preserve">FCU-05</t>
  </si>
  <si>
    <t xml:space="preserve">fan_status/cmd, schedule</t>
  </si>
  <si>
    <t xml:space="preserve">Running &gt;= 60 min beyond schedule.</t>
  </si>
  <si>
    <t xml:space="preserve">FCU-06</t>
  </si>
  <si>
    <t xml:space="preserve">Zone Temp Not Achieved (Clg)</t>
  </si>
  <si>
    <t xml:space="preserve">zone_temp, zone_sp, clg_valve</t>
  </si>
  <si>
    <t xml:space="preserve">Valve &gt;= 95%, zone &gt; SP + 2 C for 60 min, occupied.</t>
  </si>
  <si>
    <t xml:space="preserve">FCU-07</t>
  </si>
  <si>
    <t xml:space="preserve">Zone Temp Not Achieved (Htg)</t>
  </si>
  <si>
    <t xml:space="preserve">zone_temp, zone_sp, htg_valve</t>
  </si>
  <si>
    <t xml:space="preserve">Valve &gt;= 95%, zone &lt; SP - 2 C for 60 min, occupied.</t>
  </si>
  <si>
    <t xml:space="preserve">FCU-08</t>
  </si>
  <si>
    <t xml:space="preserve">Both coils (4-pipe)</t>
  </si>
  <si>
    <t xml:space="preserve">Both &gt; 10% concurrently for 30 min.</t>
  </si>
  <si>
    <t xml:space="preserve">FCU-09</t>
  </si>
  <si>
    <t xml:space="preserve">Valve Passing</t>
  </si>
  <si>
    <t xml:space="preserve">Any coil + discharge/zone temp</t>
  </si>
  <si>
    <t xml:space="preserve">valve cmd, discharge or zone temp</t>
  </si>
  <si>
    <t xml:space="preserve">Valve &lt; 2%, temperature trends the wrong way for 60 min.</t>
  </si>
  <si>
    <t xml:space="preserve">FCU-10</t>
  </si>
  <si>
    <t xml:space="preserve">Setpoint Outside Policy</t>
  </si>
  <si>
    <t xml:space="preserve">Info</t>
  </si>
  <si>
    <t xml:space="preserve">zone_sp</t>
  </si>
  <si>
    <t xml:space="preserve">Setpoint outside policy band (e.g. 19-24 C) for 4 h. Often an occupant-adjustment / handover issue.</t>
  </si>
  <si>
    <t xml:space="preserve">FCU-11</t>
  </si>
  <si>
    <t xml:space="preserve">Zone Temperature Oscillating</t>
  </si>
  <si>
    <t xml:space="preserve">zone_temp</t>
  </si>
  <si>
    <t xml:space="preserve">Sustained oscillation &gt; ±1.5 C around setpoint over 4 h. Control tuning indicator.</t>
  </si>
  <si>
    <t xml:space="preserve">VAV</t>
  </si>
  <si>
    <t xml:space="preserve">VAV-01</t>
  </si>
  <si>
    <t xml:space="preserve">Airflow Not Achieved</t>
  </si>
  <si>
    <t xml:space="preserve">Flow sensor</t>
  </si>
  <si>
    <t xml:space="preserve">damper_cmd, flow, flow_sp</t>
  </si>
  <si>
    <t xml:space="preserve">Damper &gt;= 95%, flow &lt; SP - tolerance for 30 min (starved box: check AHU static, upstream balancing).</t>
  </si>
  <si>
    <t xml:space="preserve">VAV-02</t>
  </si>
  <si>
    <t xml:space="preserve">Airflow With Damper Closed</t>
  </si>
  <si>
    <t xml:space="preserve">damper_cmd, flow</t>
  </si>
  <si>
    <t xml:space="preserve">Damper &lt;= 5%, flow above minimum for 30 min (leaking damper).</t>
  </si>
  <si>
    <t xml:space="preserve">VAV-03</t>
  </si>
  <si>
    <t xml:space="preserve">Damper Not Responding</t>
  </si>
  <si>
    <t xml:space="preserve">Command change &gt; 30%, flow unchanged for 30 min.</t>
  </si>
  <si>
    <t xml:space="preserve">VAV-04</t>
  </si>
  <si>
    <t xml:space="preserve">zone_temp, zone_sp</t>
  </si>
  <si>
    <t xml:space="preserve">Cooling call at max flow, zone &gt; SP + 2 C for 60 min, occupied.</t>
  </si>
  <si>
    <t xml:space="preserve">VAV-05</t>
  </si>
  <si>
    <t xml:space="preserve">Reheat</t>
  </si>
  <si>
    <t xml:space="preserve">zone_temp, zone_sp, rht_valve</t>
  </si>
  <si>
    <t xml:space="preserve">Reheat &gt;= 95%, zone &lt; SP - 2 C for 60 min, occupied.</t>
  </si>
  <si>
    <t xml:space="preserve">VAV-06</t>
  </si>
  <si>
    <t xml:space="preserve">Reheat Valve Passing</t>
  </si>
  <si>
    <t xml:space="preserve">Reheat + discharge temp</t>
  </si>
  <si>
    <t xml:space="preserve">rht_valve, discharge_temp</t>
  </si>
  <si>
    <t xml:space="preserve">Valve &lt; 2%, discharge &gt; entering + 3 C for 60 min.</t>
  </si>
  <si>
    <t xml:space="preserve">VAV-07</t>
  </si>
  <si>
    <t xml:space="preserve">Excessive Reheat</t>
  </si>
  <si>
    <t xml:space="preserve">rht_valve, AHU cooling state</t>
  </si>
  <si>
    <t xml:space="preserve">Reheat &gt; 50% while AHU is cooling, 2 h. Sequence / energy waste indicator.</t>
  </si>
  <si>
    <t xml:space="preserve">VAV-08</t>
  </si>
  <si>
    <t xml:space="preserve">VAV-09</t>
  </si>
  <si>
    <t xml:space="preserve">Setpoint outside policy band for 4 h.</t>
  </si>
  <si>
    <t xml:space="preserve">VAV-10</t>
  </si>
  <si>
    <t xml:space="preserve">Airflow During Unoccupied</t>
  </si>
  <si>
    <t xml:space="preserve">flow, schedule</t>
  </si>
  <si>
    <t xml:space="preserve">Flow above minimum while unoccupied for 60 min.</t>
  </si>
  <si>
    <t xml:space="preserve">Chiller</t>
  </si>
  <si>
    <t xml:space="preserve">CH-01</t>
  </si>
  <si>
    <t xml:space="preserve">Failed to Start</t>
  </si>
  <si>
    <t xml:space="preserve">enable_cmd, run_status</t>
  </si>
  <si>
    <t xml:space="preserve">Enabled, no run proof within 10 min.</t>
  </si>
  <si>
    <t xml:space="preserve">CH-02</t>
  </si>
  <si>
    <t xml:space="preserve">Running in Hand</t>
  </si>
  <si>
    <t xml:space="preserve">Not enabled &gt;= 10 min, still running for 30 min.</t>
  </si>
  <si>
    <t xml:space="preserve">CH-03</t>
  </si>
  <si>
    <t xml:space="preserve">Short Cycling</t>
  </si>
  <si>
    <t xml:space="preserve">run_status</t>
  </si>
  <si>
    <t xml:space="preserve">&gt; 3 starts per hour for 2 h.</t>
  </si>
  <si>
    <t xml:space="preserve">CH-04</t>
  </si>
  <si>
    <t xml:space="preserve">General Alarm Active</t>
  </si>
  <si>
    <t xml:space="preserve">Alarm point integrated</t>
  </si>
  <si>
    <t xml:space="preserve">chiller alarm point</t>
  </si>
  <si>
    <t xml:space="preserve">Alarm true for 5 min. Diagnosis directs to chiller HMI fault code.</t>
  </si>
  <si>
    <t xml:space="preserve">CH-05</t>
  </si>
  <si>
    <t xml:space="preserve">CHW Flow Temp Not Achieved</t>
  </si>
  <si>
    <t xml:space="preserve">chws_temp, chws_sp</t>
  </si>
  <si>
    <t xml:space="preserve">Running, CHWS &gt; SP + 1.5 C for 45 min.</t>
  </si>
  <si>
    <t xml:space="preserve">CH-06</t>
  </si>
  <si>
    <t xml:space="preserve">Low Evaporator dT</t>
  </si>
  <si>
    <t xml:space="preserve">CHW flow + return temps</t>
  </si>
  <si>
    <t xml:space="preserve">chws_temp, chwr_temp</t>
  </si>
  <si>
    <t xml:space="preserve">dT &lt; 60% of design at meaningful load for 2 h (low delta-T syndrome: valves, bypass, flow).</t>
  </si>
  <si>
    <t xml:space="preserve">CH-07</t>
  </si>
  <si>
    <t xml:space="preserve">High Condenser Temp</t>
  </si>
  <si>
    <t xml:space="preserve">Condenser temps</t>
  </si>
  <si>
    <t xml:space="preserve">cws/cond temp</t>
  </si>
  <si>
    <t xml:space="preserve">Above threshold for 30 min while running. Check towers / condenser flow.</t>
  </si>
  <si>
    <t xml:space="preserve">CH-08</t>
  </si>
  <si>
    <t xml:space="preserve">Condenser Approach High</t>
  </si>
  <si>
    <t xml:space="preserve">cond temp, cwr temp</t>
  </si>
  <si>
    <t xml:space="preserve">Approach &gt; baseline + 3 C for 4 h (fouling indicator).</t>
  </si>
  <si>
    <t xml:space="preserve">CH-09</t>
  </si>
  <si>
    <t xml:space="preserve">Poor Efficiency vs Baseline</t>
  </si>
  <si>
    <t xml:space="preserve">kW metering</t>
  </si>
  <si>
    <t xml:space="preserve">chiller kW, cooling load</t>
  </si>
  <si>
    <t xml:space="preserve">Specific power &gt; baseline + 15% for 4 h at comparable load.</t>
  </si>
  <si>
    <t xml:space="preserve">CH-10</t>
  </si>
  <si>
    <t xml:space="preserve">No change beyond deadband for 4 h while running.</t>
  </si>
  <si>
    <t xml:space="preserve">CH-11</t>
  </si>
  <si>
    <t xml:space="preserve">run_status, schedule/season</t>
  </si>
  <si>
    <t xml:space="preserve">Running &gt;= 60 min beyond schedule or season flag.</t>
  </si>
  <si>
    <t xml:space="preserve">CH-12</t>
  </si>
  <si>
    <t xml:space="preserve">Excess Chillers Staged</t>
  </si>
  <si>
    <t xml:space="preserve">Multiple chillers + load data</t>
  </si>
  <si>
    <t xml:space="preserve">run statuses, combined load</t>
  </si>
  <si>
    <t xml:space="preserve">N+1 machines running with combined load &lt; 40% for 2 h (staging / sequencing).</t>
  </si>
  <si>
    <t xml:space="preserve">CH-13</t>
  </si>
  <si>
    <t xml:space="preserve">All Chillers Failed / Cooling Unavailable</t>
  </si>
  <si>
    <t xml:space="preserve">Multiple chillers</t>
  </si>
  <si>
    <t xml:space="preserve">chiller run statuses, CHWS temp</t>
  </si>
  <si>
    <t xml:space="preserve">No chiller proving while cooling enabled and CHWS temp rising for 15 min. Plant-level parent fault — the OOH call-out trigger.</t>
  </si>
  <si>
    <t xml:space="preserve">CH-14</t>
  </si>
  <si>
    <t xml:space="preserve">Partial Chiller Failure (Redundancy Reduced)</t>
  </si>
  <si>
    <t xml:space="preserve">chiller statuses, demand</t>
  </si>
  <si>
    <t xml:space="preserve">One machine failed or locked out while others carry the load. Service OK — resilience consumed.</t>
  </si>
  <si>
    <t xml:space="preserve">CH-15</t>
  </si>
  <si>
    <t xml:space="preserve">OAT Hold-Off Active</t>
  </si>
  <si>
    <t xml:space="preserve">OAT hold-off strategy</t>
  </si>
  <si>
    <t xml:space="preserve">OAT, enable status</t>
  </si>
  <si>
    <t xml:space="preserve">Chillers held off on OAT strategy. Informational; suppresses failure alerts during hold-off.</t>
  </si>
  <si>
    <t xml:space="preserve">CH-16</t>
  </si>
  <si>
    <t xml:space="preserve">Evaporator Approach High</t>
  </si>
  <si>
    <t xml:space="preserve">Evap refrigerant/water temps</t>
  </si>
  <si>
    <t xml:space="preserve">evap leaving water temp, evap refrigerant temp</t>
  </si>
  <si>
    <t xml:space="preserve">Approach &gt; baseline + 2 C for 4 h. Low refrigerant charge or evaporator fouling — the early warning before capacity loss.</t>
  </si>
  <si>
    <t xml:space="preserve">Boiler</t>
  </si>
  <si>
    <t xml:space="preserve">BLR-01</t>
  </si>
  <si>
    <t xml:space="preserve">enable_cmd, run/fire status</t>
  </si>
  <si>
    <t xml:space="preserve">Enabled, no firing proof within 10 min.</t>
  </si>
  <si>
    <t xml:space="preserve">BLR-02</t>
  </si>
  <si>
    <t xml:space="preserve">Lockout / Alarm Active</t>
  </si>
  <si>
    <t xml:space="preserve">boiler alarm/lockout point</t>
  </si>
  <si>
    <t xml:space="preserve">Alarm true for 5 min.</t>
  </si>
  <si>
    <t xml:space="preserve">BLR-03</t>
  </si>
  <si>
    <t xml:space="preserve">enable_cmd, run status</t>
  </si>
  <si>
    <t xml:space="preserve">Not enabled &gt;= 10 min, still firing for 30 min.</t>
  </si>
  <si>
    <t xml:space="preserve">BLR-04</t>
  </si>
  <si>
    <t xml:space="preserve">fire status</t>
  </si>
  <si>
    <t xml:space="preserve">&gt; 6 starts per hour for 2 h.</t>
  </si>
  <si>
    <t xml:space="preserve">BLR-05</t>
  </si>
  <si>
    <t xml:space="preserve">Flow Temp Not Achieved</t>
  </si>
  <si>
    <t xml:space="preserve">hws_temp, hws_sp</t>
  </si>
  <si>
    <t xml:space="preserve">Firing, HWS &lt; SP - 3 C for 45 min.</t>
  </si>
  <si>
    <t xml:space="preserve">BLR-06</t>
  </si>
  <si>
    <t xml:space="preserve">Return Temp Below Protection</t>
  </si>
  <si>
    <t xml:space="preserve">Non-condensing plant</t>
  </si>
  <si>
    <t xml:space="preserve">hwr_temp</t>
  </si>
  <si>
    <t xml:space="preserve">Return &lt; protection minimum (e.g. 55 C) for 30 min while firing (thermal shock / corrosion risk).</t>
  </si>
  <si>
    <t xml:space="preserve">BLR-07</t>
  </si>
  <si>
    <t xml:space="preserve">Low dT Across Boiler</t>
  </si>
  <si>
    <t xml:space="preserve">Flow + return temps</t>
  </si>
  <si>
    <t xml:space="preserve">hws_temp, hwr_temp</t>
  </si>
  <si>
    <t xml:space="preserve">dT &lt; 50% of design while firing for 2 h (flow / bypass issue).</t>
  </si>
  <si>
    <t xml:space="preserve">BLR-08</t>
  </si>
  <si>
    <t xml:space="preserve">BLR-09</t>
  </si>
  <si>
    <t xml:space="preserve">fire status, schedule/season</t>
  </si>
  <si>
    <t xml:space="preserve">Firing &gt;= 60 min beyond schedule or season flag.</t>
  </si>
  <si>
    <t xml:space="preserve">BLR-10</t>
  </si>
  <si>
    <t xml:space="preserve">Excess Boilers Staged</t>
  </si>
  <si>
    <t xml:space="preserve">Multiple boilers</t>
  </si>
  <si>
    <t xml:space="preserve">fire statuses, demand</t>
  </si>
  <si>
    <t xml:space="preserve">Multiple boilers firing at low combined demand for 2 h.</t>
  </si>
  <si>
    <t xml:space="preserve">BLR-11</t>
  </si>
  <si>
    <t xml:space="preserve">Partial Boiler Failure (Redundancy Reduced)</t>
  </si>
  <si>
    <t xml:space="preserve">boiler statuses, demand</t>
  </si>
  <si>
    <t xml:space="preserve">One boiler failed or locked out while the remaining unit(s) carry the load. Service maintained — resilience reduced until repaired.</t>
  </si>
  <si>
    <t xml:space="preserve">Pumps</t>
  </si>
  <si>
    <t xml:space="preserve">PMP-01</t>
  </si>
  <si>
    <t xml:space="preserve">Pump Failed</t>
  </si>
  <si>
    <t xml:space="preserve">pump_cmd, pump_status</t>
  </si>
  <si>
    <t xml:space="preserve">Commanded ON, no proof for 2 min. Critical on primary circuits; consider Warning on tertiary.</t>
  </si>
  <si>
    <t xml:space="preserve">PMP-02</t>
  </si>
  <si>
    <t xml:space="preserve">PMP-03</t>
  </si>
  <si>
    <t xml:space="preserve">pump_status</t>
  </si>
  <si>
    <t xml:space="preserve">PMP-04</t>
  </si>
  <si>
    <t xml:space="preserve">Pressure Not Achieved at Full Speed</t>
  </si>
  <si>
    <t xml:space="preserve">VSD + dP sensor</t>
  </si>
  <si>
    <t xml:space="preserve">speed, dP, dP_sp</t>
  </si>
  <si>
    <t xml:space="preserve">Speed &gt;= 95%, dP &lt; SP - tolerance for 30 min.</t>
  </si>
  <si>
    <t xml:space="preserve">PMP-05</t>
  </si>
  <si>
    <t xml:space="preserve">Speed Saturated</t>
  </si>
  <si>
    <t xml:space="preserve">VSD</t>
  </si>
  <si>
    <t xml:space="preserve">speed</t>
  </si>
  <si>
    <t xml:space="preserve">&gt;= 95% for 4 h. Sizing / setpoint / valve-authority lead indicator.</t>
  </si>
  <si>
    <t xml:space="preserve">PMP-06</t>
  </si>
  <si>
    <t xml:space="preserve">No Flow Evidence While Running</t>
  </si>
  <si>
    <t xml:space="preserve">dP or flow sensor</t>
  </si>
  <si>
    <t xml:space="preserve">status, dP/flow</t>
  </si>
  <si>
    <t xml:space="preserve">Running with dP or flow near zero for 15 min (deadhead, closed valve, coupling).</t>
  </si>
  <si>
    <t xml:space="preserve">PMP-07</t>
  </si>
  <si>
    <t xml:space="preserve">Duty/Standby Not Rotating</t>
  </si>
  <si>
    <t xml:space="preserve">Duty/standby pair</t>
  </si>
  <si>
    <t xml:space="preserve">both pump statuses</t>
  </si>
  <si>
    <t xml:space="preserve">Same pump leading beyond rotation period (changeover failure; hidden standby faults).</t>
  </si>
  <si>
    <t xml:space="preserve">PMP-08</t>
  </si>
  <si>
    <t xml:space="preserve">All Pumps on Circuit Failed</t>
  </si>
  <si>
    <t xml:space="preserve">all pump statuses on circuit</t>
  </si>
  <si>
    <t xml:space="preserve">No pump proving on a circuit with demand for 5 min. Circuit-level parent fault (primary / secondary / LTHW / CHWS loops) — the OOH call-out trigger.</t>
  </si>
  <si>
    <t xml:space="preserve">PMP-09</t>
  </si>
  <si>
    <t xml:space="preserve">Partial Pump Failure (Redundancy Reduced)</t>
  </si>
  <si>
    <t xml:space="preserve">pump statuses</t>
  </si>
  <si>
    <t xml:space="preserve">Standby carrying duty after a failure. Service maintained; resilience lost until repaired.</t>
  </si>
  <si>
    <t xml:space="preserve">Cooling Tower</t>
  </si>
  <si>
    <t xml:space="preserve">CT-01</t>
  </si>
  <si>
    <t xml:space="preserve">Commanded ON, no proof for 5 min.</t>
  </si>
  <si>
    <t xml:space="preserve">CT-02</t>
  </si>
  <si>
    <t xml:space="preserve">CT-03</t>
  </si>
  <si>
    <t xml:space="preserve">CW Temp Not Achieved</t>
  </si>
  <si>
    <t xml:space="preserve">cws_temp, cws_sp</t>
  </si>
  <si>
    <t xml:space="preserve">CWS &gt; SP + 2 C for 45 min with fans available.</t>
  </si>
  <si>
    <t xml:space="preserve">CT-04</t>
  </si>
  <si>
    <t xml:space="preserve">Approach Temp High</t>
  </si>
  <si>
    <t xml:space="preserve">OAT / wet-bulb data</t>
  </si>
  <si>
    <t xml:space="preserve">cws_temp, OAT/wet-bulb</t>
  </si>
  <si>
    <t xml:space="preserve">Approach &gt; baseline + 3 C for 4 h (fill fouling, airflow, water distribution).</t>
  </si>
  <si>
    <t xml:space="preserve">CT-05</t>
  </si>
  <si>
    <t xml:space="preserve">CT-06</t>
  </si>
  <si>
    <t xml:space="preserve">Running Outside Schedule/Season</t>
  </si>
  <si>
    <t xml:space="preserve">fan_status, schedule/season</t>
  </si>
  <si>
    <t xml:space="preserve">CT-07</t>
  </si>
  <si>
    <t xml:space="preserve">Basin Heater Fault</t>
  </si>
  <si>
    <t xml:space="preserve">Basin heater fitted</t>
  </si>
  <si>
    <t xml:space="preserve">heater status, basin temp, OAT</t>
  </si>
  <si>
    <t xml:space="preserve">OAT below threshold, heater not proving or basin temp falling toward freeze for 60 min. Winter freeze damage risk.</t>
  </si>
  <si>
    <t xml:space="preserve">CT-08</t>
  </si>
  <si>
    <t xml:space="preserve">Partial Tower Fan / Cell Failure (Redundancy Reduced)</t>
  </si>
  <si>
    <t xml:space="preserve">Multiple towers or fan cells</t>
  </si>
  <si>
    <t xml:space="preserve">fan/cell statuses</t>
  </si>
  <si>
    <t xml:space="preserve">One tower fan / cell failed or locked out while the remaining unit(s) carry the load. Service maintained — resilience reduced until repaired.</t>
  </si>
  <si>
    <t xml:space="preserve">Metering &amp; Energy</t>
  </si>
  <si>
    <t xml:space="preserve">MTR-01</t>
  </si>
  <si>
    <t xml:space="preserve">Meter Not Reporting</t>
  </si>
  <si>
    <t xml:space="preserve">meter reading</t>
  </si>
  <si>
    <t xml:space="preserve">No new data for 4 h.</t>
  </si>
  <si>
    <t xml:space="preserve">MTR-02</t>
  </si>
  <si>
    <t xml:space="preserve">Meter Reading Implausible</t>
  </si>
  <si>
    <t xml:space="preserve">Negative, rollback, or beyond physical maximum.</t>
  </si>
  <si>
    <t xml:space="preserve">MTR-03</t>
  </si>
  <si>
    <t xml:space="preserve">Out-of-Hours Baseload High</t>
  </si>
  <si>
    <t xml:space="preserve">Baseline available</t>
  </si>
  <si>
    <t xml:space="preserve">interval consumption, schedule</t>
  </si>
  <si>
    <t xml:space="preserve">Unoccupied consumption &gt; baseline + 20% for 3 consecutive nights.</t>
  </si>
  <si>
    <t xml:space="preserve">MTR-04</t>
  </si>
  <si>
    <t xml:space="preserve">Demand Spike vs Baseline</t>
  </si>
  <si>
    <t xml:space="preserve">interval demand</t>
  </si>
  <si>
    <t xml:space="preserve">Demand &gt; baseline + 30% sustained for 2 h, no known cause.</t>
  </si>
  <si>
    <t xml:space="preserve">MTR-05</t>
  </si>
  <si>
    <t xml:space="preserve">Main vs Submeter Imbalance</t>
  </si>
  <si>
    <t xml:space="preserve">Submeter hierarchy</t>
  </si>
  <si>
    <t xml:space="preserve">main + submeter readings</t>
  </si>
  <si>
    <t xml:space="preserve">Sum of submeters drifts &gt; 10% from main over 24 h (metering integrity).</t>
  </si>
  <si>
    <t xml:space="preserve">MTR-06</t>
  </si>
  <si>
    <t xml:space="preserve">Gas Use With No Heat Demand</t>
  </si>
  <si>
    <t xml:space="preserve">Gas meter + plant status</t>
  </si>
  <si>
    <t xml:space="preserve">gas flow, heating plant status</t>
  </si>
  <si>
    <t xml:space="preserve">Gas flow while heating plant off for 2 h.</t>
  </si>
  <si>
    <t xml:space="preserve">MTR-07</t>
  </si>
  <si>
    <t xml:space="preserve">HVAC Energy While Unoccupied</t>
  </si>
  <si>
    <t xml:space="preserve">HVAC submeter</t>
  </si>
  <si>
    <t xml:space="preserve">HVAC kW, schedule</t>
  </si>
  <si>
    <t xml:space="preserve">HVAC demand above floor while unoccupied for 2 h.</t>
  </si>
  <si>
    <t xml:space="preserve">MTR-08</t>
  </si>
  <si>
    <t xml:space="preserve">Make-Up Water High Usage</t>
  </si>
  <si>
    <t xml:space="preserve">Make-up meter</t>
  </si>
  <si>
    <t xml:space="preserve">make-up water meter</t>
  </si>
  <si>
    <t xml:space="preserve">Usage above baseline over 24 h. System leak indicator.</t>
  </si>
  <si>
    <t xml:space="preserve">BMS Health</t>
  </si>
  <si>
    <t xml:space="preserve">BMS-01</t>
  </si>
  <si>
    <t xml:space="preserve">Device Offline</t>
  </si>
  <si>
    <t xml:space="preserve">comms status</t>
  </si>
  <si>
    <t xml:space="preserve">Device offline for 15 min. Suppresses all alerts on that device.</t>
  </si>
  <si>
    <t xml:space="preserve">BMS-02</t>
  </si>
  <si>
    <t xml:space="preserve">Points Stale</t>
  </si>
  <si>
    <t xml:space="preserve">point updates</t>
  </si>
  <si>
    <t xml:space="preserve">No value changes across device for 4 h while plant running.</t>
  </si>
  <si>
    <t xml:space="preserve">BMS-03</t>
  </si>
  <si>
    <t xml:space="preserve">Excessive Overrides Active</t>
  </si>
  <si>
    <t xml:space="preserve">Writable points</t>
  </si>
  <si>
    <t xml:space="preserve">override states</t>
  </si>
  <si>
    <t xml:space="preserve">More than N operator overrides active for 24 h.</t>
  </si>
  <si>
    <t xml:space="preserve">BMS-04</t>
  </si>
  <si>
    <t xml:space="preserve">Schedule Missing or Disabled</t>
  </si>
  <si>
    <t xml:space="preserve">schedule binding</t>
  </si>
  <si>
    <t xml:space="preserve">Scheduled asset with no active schedule bound.</t>
  </si>
  <si>
    <t xml:space="preserve">BMS-05</t>
  </si>
  <si>
    <t xml:space="preserve">Sensor Implausible (Global Sweep)</t>
  </si>
  <si>
    <t xml:space="preserve">all analog sensors</t>
  </si>
  <si>
    <t xml:space="preserve">Site-wide plausibility check; feeds data readiness score.</t>
  </si>
  <si>
    <t xml:space="preserve">BMS-06</t>
  </si>
  <si>
    <t xml:space="preserve">Controller Time Drift</t>
  </si>
  <si>
    <t xml:space="preserve">Clock readable</t>
  </si>
  <si>
    <t xml:space="preserve">controller clock</t>
  </si>
  <si>
    <t xml:space="preserve">Drift &gt; 5 min vs reference (breaks schedule logic silently).</t>
  </si>
  <si>
    <t xml:space="preserve">Boosted Cold Water</t>
  </si>
  <si>
    <t xml:space="preserve">BCW-01</t>
  </si>
  <si>
    <t xml:space="preserve">Booster Pump Failed</t>
  </si>
  <si>
    <t xml:space="preserve">Duty pump commanded, no proof for 2 min.</t>
  </si>
  <si>
    <t xml:space="preserve">BCW-02</t>
  </si>
  <si>
    <t xml:space="preserve">Booster Set Unavailable</t>
  </si>
  <si>
    <t xml:space="preserve">Multi-pump set</t>
  </si>
  <si>
    <t xml:space="preserve">all pump statuses / set fault</t>
  </si>
  <si>
    <t xml:space="preserve">No pump available to run, or common set fault active, 2 min. Loss of water supply risk.</t>
  </si>
  <si>
    <t xml:space="preserve">BCW-03</t>
  </si>
  <si>
    <t xml:space="preserve">Low System Pressure</t>
  </si>
  <si>
    <t xml:space="preserve">Pressure sensor</t>
  </si>
  <si>
    <t xml:space="preserve">system pressure</t>
  </si>
  <si>
    <t xml:space="preserve">Below minimum for 5 min. Supply failure to outlets / risk to downstream plant.</t>
  </si>
  <si>
    <t xml:space="preserve">BCW-04</t>
  </si>
  <si>
    <t xml:space="preserve">High System Pressure</t>
  </si>
  <si>
    <t xml:space="preserve">Above maximum for 15 min. PRV or transducer fault.</t>
  </si>
  <si>
    <t xml:space="preserve">BCW-05</t>
  </si>
  <si>
    <t xml:space="preserve">Excessive Pump Cycling</t>
  </si>
  <si>
    <t xml:space="preserve">&gt; 10 starts per hour for 2 h. Classic failed accumulator vessel or system leak.</t>
  </si>
  <si>
    <t xml:space="preserve">BCW-06</t>
  </si>
  <si>
    <t xml:space="preserve">Same pump leading beyond rotation period; hidden standby faults.</t>
  </si>
  <si>
    <t xml:space="preserve">BCW-07</t>
  </si>
  <si>
    <t xml:space="preserve">Tank Level Low</t>
  </si>
  <si>
    <t xml:space="preserve">Level sensor</t>
  </si>
  <si>
    <t xml:space="preserve">tank level</t>
  </si>
  <si>
    <t xml:space="preserve">Below low limit for 5 min.</t>
  </si>
  <si>
    <t xml:space="preserve">BCW-08</t>
  </si>
  <si>
    <t xml:space="preserve">Tank Level High / Overflow Risk</t>
  </si>
  <si>
    <t xml:space="preserve">Above high limit for 15 min. Inlet valve failure.</t>
  </si>
  <si>
    <t xml:space="preserve">BCW-09</t>
  </si>
  <si>
    <t xml:space="preserve">Continuous Run With No Demand</t>
  </si>
  <si>
    <t xml:space="preserve">Running continuously through overnight low-demand period. Leak indicator.</t>
  </si>
  <si>
    <t xml:space="preserve">BCW-10</t>
  </si>
  <si>
    <t xml:space="preserve">BCW-11</t>
  </si>
  <si>
    <t xml:space="preserve">Partial Booster Pump Failure (Redundancy Reduced)</t>
  </si>
  <si>
    <t xml:space="preserve">One booster pump failed or locked out while the remaining unit(s) carry the load. Service maintained — resilience reduced until repaired.</t>
  </si>
  <si>
    <t xml:space="preserve">Fire Alarm Interface</t>
  </si>
  <si>
    <t xml:space="preserve">FA-01</t>
  </si>
  <si>
    <t xml:space="preserve">Panel Fault Signal Active</t>
  </si>
  <si>
    <t xml:space="preserve">panel fault output</t>
  </si>
  <si>
    <t xml:space="preserve">Fault active for 5 min. NOTE: this monitors panel health via the BMS interface; it supplements and never replaces the regulated fire alarm response chain.</t>
  </si>
  <si>
    <t xml:space="preserve">FA-02</t>
  </si>
  <si>
    <t xml:space="preserve">Panel Interface Offline</t>
  </si>
  <si>
    <t xml:space="preserve">interface comms</t>
  </si>
  <si>
    <t xml:space="preserve">No comms with the panel interface for 15 min. We are blind to panel status.</t>
  </si>
  <si>
    <t xml:space="preserve">FA-03</t>
  </si>
  <si>
    <t xml:space="preserve">Isolation Active Too Long</t>
  </si>
  <si>
    <t xml:space="preserve">Isolation status visible</t>
  </si>
  <si>
    <t xml:space="preserve">isolation status</t>
  </si>
  <si>
    <t xml:space="preserve">Zone/device isolation active &gt; 24 h. Typically left isolated after works.</t>
  </si>
  <si>
    <t xml:space="preserve">FA-04</t>
  </si>
  <si>
    <t xml:space="preserve">Panel On Battery / Mains Fail</t>
  </si>
  <si>
    <t xml:space="preserve">Power status visible</t>
  </si>
  <si>
    <t xml:space="preserve">panel power status</t>
  </si>
  <si>
    <t xml:space="preserve">Running on battery for 15 min.</t>
  </si>
  <si>
    <t xml:space="preserve">FA-05</t>
  </si>
  <si>
    <t xml:space="preserve">Alarm Signal Active</t>
  </si>
  <si>
    <t xml:space="preserve">panel alarm output</t>
  </si>
  <si>
    <t xml:space="preserve">Immediate.</t>
  </si>
  <si>
    <t xml:space="preserve">Generator</t>
  </si>
  <si>
    <t xml:space="preserve">GEN-01</t>
  </si>
  <si>
    <t xml:space="preserve">Failed to Start on Demand</t>
  </si>
  <si>
    <t xml:space="preserve">start_cmd, run_status</t>
  </si>
  <si>
    <t xml:space="preserve">Start demanded, no run proof within 60 s.</t>
  </si>
  <si>
    <t xml:space="preserve">GEN-02</t>
  </si>
  <si>
    <t xml:space="preserve">Common Alarm Active</t>
  </si>
  <si>
    <t xml:space="preserve">Alarm point</t>
  </si>
  <si>
    <t xml:space="preserve">genset alarm point</t>
  </si>
  <si>
    <t xml:space="preserve">Alarm true for 2 min. Diagnosis directs to genset controller code.</t>
  </si>
  <si>
    <t xml:space="preserve">GEN-03</t>
  </si>
  <si>
    <t xml:space="preserve">Not in Auto</t>
  </si>
  <si>
    <t xml:space="preserve">Mode status</t>
  </si>
  <si>
    <t xml:space="preserve">mode switch position</t>
  </si>
  <si>
    <t xml:space="preserve">Not in auto for 15 min. Set will not start on mains failure.</t>
  </si>
  <si>
    <t xml:space="preserve">GEN-04</t>
  </si>
  <si>
    <t xml:space="preserve">Low Fuel Level</t>
  </si>
  <si>
    <t xml:space="preserve">Fuel level sensor</t>
  </si>
  <si>
    <t xml:space="preserve">fuel level</t>
  </si>
  <si>
    <t xml:space="preserve">Below threshold (e.g. 50%) — escalate to Critical below run-time minimum.</t>
  </si>
  <si>
    <t xml:space="preserve">GEN-05</t>
  </si>
  <si>
    <t xml:space="preserve">Battery / Charger Fault</t>
  </si>
  <si>
    <t xml:space="preserve">Charger or battery point</t>
  </si>
  <si>
    <t xml:space="preserve">charger status / battery V</t>
  </si>
  <si>
    <t xml:space="preserve">Fault or low volts for 15 min. The most common cause of failed starts.</t>
  </si>
  <si>
    <t xml:space="preserve">GEN-06</t>
  </si>
  <si>
    <t xml:space="preserve">Block Heater Fault</t>
  </si>
  <si>
    <t xml:space="preserve">Heater or engine temp point</t>
  </si>
  <si>
    <t xml:space="preserve">heater status / engine temp</t>
  </si>
  <si>
    <t xml:space="preserve">Heater off or engine temp low for 2 h. Cold-start risk.</t>
  </si>
  <si>
    <t xml:space="preserve">GEN-07</t>
  </si>
  <si>
    <t xml:space="preserve">Running Unexpectedly</t>
  </si>
  <si>
    <t xml:space="preserve">run_status, mains status</t>
  </si>
  <si>
    <t xml:space="preserve">Running with mains healthy and no test window for 15 min.</t>
  </si>
  <si>
    <t xml:space="preserve">GEN-08</t>
  </si>
  <si>
    <t xml:space="preserve">Test Run Missed</t>
  </si>
  <si>
    <t xml:space="preserve">run history</t>
  </si>
  <si>
    <t xml:space="preserve">No run recorded within the test period (e.g. monthly). Confirms the test regime actually happens.</t>
  </si>
  <si>
    <t xml:space="preserve">GEN-09</t>
  </si>
  <si>
    <t xml:space="preserve">Status Flatlined</t>
  </si>
  <si>
    <t xml:space="preserve">each bound point</t>
  </si>
  <si>
    <t xml:space="preserve">No updates from genset points for 4 h.</t>
  </si>
  <si>
    <t xml:space="preserve">GEN-10</t>
  </si>
  <si>
    <t xml:space="preserve">Partial Generator Failure (Redundancy Reduced)</t>
  </si>
  <si>
    <t xml:space="preserve">Multiple generator sets</t>
  </si>
  <si>
    <t xml:space="preserve">set statuses, alarms</t>
  </si>
  <si>
    <t xml:space="preserve">One generator failed or locked out while the remaining unit(s) carry the load. Service maintained — resilience reduced until repaired.</t>
  </si>
  <si>
    <t xml:space="preserve">ACB</t>
  </si>
  <si>
    <t xml:space="preserve">ACB-01</t>
  </si>
  <si>
    <t xml:space="preserve">Breaker Tripped</t>
  </si>
  <si>
    <t xml:space="preserve">Trip status</t>
  </si>
  <si>
    <t xml:space="preserve">trip status</t>
  </si>
  <si>
    <t xml:space="preserve">Trip active — immediate. Parent fault for downstream supply alerts.</t>
  </si>
  <si>
    <t xml:space="preserve">ACB-02</t>
  </si>
  <si>
    <t xml:space="preserve">Breaker Open Unexpectedly</t>
  </si>
  <si>
    <t xml:space="preserve">Position status</t>
  </si>
  <si>
    <t xml:space="preserve">open/closed status</t>
  </si>
  <si>
    <t xml:space="preserve">Open while expected closed for 2 min.</t>
  </si>
  <si>
    <t xml:space="preserve">ACB-03</t>
  </si>
  <si>
    <t xml:space="preserve">Protection Unit Fault</t>
  </si>
  <si>
    <t xml:space="preserve">Fault point</t>
  </si>
  <si>
    <t xml:space="preserve">trip unit fault</t>
  </si>
  <si>
    <t xml:space="preserve">Fault active for 15 min. Protection integrity at risk.</t>
  </si>
  <si>
    <t xml:space="preserve">ACB-04</t>
  </si>
  <si>
    <t xml:space="preserve">Not in Remote/Auto</t>
  </si>
  <si>
    <t xml:space="preserve">mode position</t>
  </si>
  <si>
    <t xml:space="preserve">Left in local/manual for 60 min after works.</t>
  </si>
  <si>
    <t xml:space="preserve">ACB-05</t>
  </si>
  <si>
    <t xml:space="preserve">Comms Lost to Breaker</t>
  </si>
  <si>
    <t xml:space="preserve">breaker comms</t>
  </si>
  <si>
    <t xml:space="preserve">No comms for 15 min.</t>
  </si>
  <si>
    <t xml:space="preserve">ATS</t>
  </si>
  <si>
    <t xml:space="preserve">ATS-01</t>
  </si>
  <si>
    <t xml:space="preserve">Transferred to Alternate Source</t>
  </si>
  <si>
    <t xml:space="preserve">switch position</t>
  </si>
  <si>
    <t xml:space="preserve">On generator/alternate — immediate. This is the mains-failure event notification.</t>
  </si>
  <si>
    <t xml:space="preserve">ATS-02</t>
  </si>
  <si>
    <t xml:space="preserve">Failed to Transfer</t>
  </si>
  <si>
    <t xml:space="preserve">Transfer cmd visible</t>
  </si>
  <si>
    <t xml:space="preserve">transfer cmd, position</t>
  </si>
  <si>
    <t xml:space="preserve">Transfer demanded, position unchanged within 30 s.</t>
  </si>
  <si>
    <t xml:space="preserve">ATS-03</t>
  </si>
  <si>
    <t xml:space="preserve">Not in auto for 15 min. Will not transfer on mains failure.</t>
  </si>
  <si>
    <t xml:space="preserve">ATS-04</t>
  </si>
  <si>
    <t xml:space="preserve">Failed to Retransfer</t>
  </si>
  <si>
    <t xml:space="preserve">mains status, position</t>
  </si>
  <si>
    <t xml:space="preserve">Mains healthy for retransfer delay + 15 min, still on alternate.</t>
  </si>
  <si>
    <t xml:space="preserve">ATS-05</t>
  </si>
  <si>
    <t xml:space="preserve">Common Fault Active</t>
  </si>
  <si>
    <t xml:space="preserve">ATS fault point</t>
  </si>
  <si>
    <t xml:space="preserve">Fault active for 5 min.</t>
  </si>
  <si>
    <t xml:space="preserve">ATS-06</t>
  </si>
  <si>
    <t xml:space="preserve">Comms Lost</t>
  </si>
  <si>
    <t xml:space="preserve">ATS comms</t>
  </si>
  <si>
    <t xml:space="preserve">Calorifier / DHW</t>
  </si>
  <si>
    <t xml:space="preserve">CAL-01</t>
  </si>
  <si>
    <t xml:space="preserve">Storage Temp Below Safe Minimum</t>
  </si>
  <si>
    <t xml:space="preserve">storage temp</t>
  </si>
  <si>
    <t xml:space="preserve">Below safe storage temp (e.g. 55 C) for 60 min. Legionella risk + loss of hot water.</t>
  </si>
  <si>
    <t xml:space="preserve">CAL-02</t>
  </si>
  <si>
    <t xml:space="preserve">Storage Temp Sensor Flatlined</t>
  </si>
  <si>
    <t xml:space="preserve">No change beyond deadband for 4 h. A flat sensor here hides a safety issue.</t>
  </si>
  <si>
    <t xml:space="preserve">CAL-03</t>
  </si>
  <si>
    <t xml:space="preserve">DHW Return Temp Low</t>
  </si>
  <si>
    <t xml:space="preserve">Return temp sensor</t>
  </si>
  <si>
    <t xml:space="preserve">return temp</t>
  </si>
  <si>
    <t xml:space="preserve">Below circulation minimum (e.g. 50 C) for 60 min.</t>
  </si>
  <si>
    <t xml:space="preserve">CAL-04</t>
  </si>
  <si>
    <t xml:space="preserve">Pasteurisation Cycle Missed</t>
  </si>
  <si>
    <t xml:space="preserve">Cycle visible in BMS</t>
  </si>
  <si>
    <t xml:space="preserve">cycle status / temp history</t>
  </si>
  <si>
    <t xml:space="preserve">No anti-legionella cycle completed within the scheduled period.</t>
  </si>
  <si>
    <t xml:space="preserve">CAL-05</t>
  </si>
  <si>
    <t xml:space="preserve">Partial Calorifier Failure (Redundancy Reduced)</t>
  </si>
  <si>
    <t xml:space="preserve">Multiple calorifiers</t>
  </si>
  <si>
    <t xml:space="preserve">calorifier statuses, temps</t>
  </si>
  <si>
    <t xml:space="preserve">One calorifier failed or locked out while the remaining unit(s) carry the load. Service maintained — resilience reduced until repaired.</t>
  </si>
  <si>
    <t xml:space="preserve">District Energy</t>
  </si>
  <si>
    <t xml:space="preserve">DE-01</t>
  </si>
  <si>
    <t xml:space="preserve">District LTHW Supply Failure</t>
  </si>
  <si>
    <t xml:space="preserve">LTHW connection</t>
  </si>
  <si>
    <t xml:space="preserve">supply temp, dP/flow</t>
  </si>
  <si>
    <t xml:space="preserve">Supply temp below threshold or dP collapsed for 15 min. Estate-level parent fault for heating.</t>
  </si>
  <si>
    <t xml:space="preserve">DE-02</t>
  </si>
  <si>
    <t xml:space="preserve">District CHWS Supply Failure</t>
  </si>
  <si>
    <t xml:space="preserve">CHWS connection</t>
  </si>
  <si>
    <t xml:space="preserve">Supply temp above threshold or dP collapsed for 15 min. Estate-level parent fault for cooling.</t>
  </si>
  <si>
    <t xml:space="preserve">DE-03</t>
  </si>
  <si>
    <t xml:space="preserve">District Supply Temp Degraded</t>
  </si>
  <si>
    <t xml:space="preserve">supply temp</t>
  </si>
  <si>
    <t xml:space="preserve">Outside contract band for 60 min. Underperformance, not failure — evidence for the energy provider.</t>
  </si>
  <si>
    <t xml:space="preserve">DE-04</t>
  </si>
  <si>
    <t xml:space="preserve">Heat Meter Not Reporting</t>
  </si>
  <si>
    <t xml:space="preserve">Heat meter integrated</t>
  </si>
  <si>
    <t xml:space="preserve">No new data for 4 h. Billing and performance-evidence integrity.</t>
  </si>
  <si>
    <t xml:space="preserve">DE-05</t>
  </si>
  <si>
    <t xml:space="preserve">LTHW Return Temp High (Network Penalty)</t>
  </si>
  <si>
    <t xml:space="preserve">LTHW return temp</t>
  </si>
  <si>
    <t xml:space="preserve">Return temp above network target band for 4 h at load. Poor secondary dT — directly drives district energy penalty charges.</t>
  </si>
  <si>
    <t xml:space="preserve">DE-06</t>
  </si>
  <si>
    <t xml:space="preserve">CHWS Return Temp Low (Poor dT)</t>
  </si>
  <si>
    <t xml:space="preserve">CHWS return temp</t>
  </si>
  <si>
    <t xml:space="preserve">Return temp below target band for 4 h at load. Low delta-T syndrome on the network connection — capacity wasted, penalties risked.</t>
  </si>
  <si>
    <t xml:space="preserve">Pressurisation Unit</t>
  </si>
  <si>
    <t xml:space="preserve">PU-01</t>
  </si>
  <si>
    <t xml:space="preserve">Unit Fault / Failure</t>
  </si>
  <si>
    <t xml:space="preserve">unit fault point</t>
  </si>
  <si>
    <t xml:space="preserve">Fault active for 5 min. Loss of system pressure cascades into boiler/chiller lockouts.</t>
  </si>
  <si>
    <t xml:space="preserve">PU-02</t>
  </si>
  <si>
    <t xml:space="preserve">System Pressure Low</t>
  </si>
  <si>
    <t xml:space="preserve">Below minimum for 5 min.</t>
  </si>
  <si>
    <t xml:space="preserve">PU-03</t>
  </si>
  <si>
    <t xml:space="preserve">System Pressure High</t>
  </si>
  <si>
    <t xml:space="preserve">Above maximum for 15 min.</t>
  </si>
  <si>
    <t xml:space="preserve">PU-04</t>
  </si>
  <si>
    <t xml:space="preserve">Excessive Top-Up Activity</t>
  </si>
  <si>
    <t xml:space="preserve">Top-up/pump count visible</t>
  </si>
  <si>
    <t xml:space="preserve">top-up events</t>
  </si>
  <si>
    <t xml:space="preserve">Top-up frequency above baseline over 24 h. System leak indicator.</t>
  </si>
  <si>
    <t xml:space="preserve">Degasser</t>
  </si>
  <si>
    <t xml:space="preserve">DG-01</t>
  </si>
  <si>
    <t xml:space="preserve">Degasser Fault</t>
  </si>
  <si>
    <t xml:space="preserve">fault point / status</t>
  </si>
  <si>
    <t xml:space="preserve">Fault active for 15 min. Air in system degrades circulation and corrodes plant.</t>
  </si>
  <si>
    <t xml:space="preserve">DG-02</t>
  </si>
  <si>
    <t xml:space="preserve">Not Running to Schedule</t>
  </si>
  <si>
    <t xml:space="preserve">Run status</t>
  </si>
  <si>
    <t xml:space="preserve">run status, schedule</t>
  </si>
  <si>
    <t xml:space="preserve">No run within the expected cycle period.</t>
  </si>
  <si>
    <t xml:space="preserve">Sump Pump</t>
  </si>
  <si>
    <t xml:space="preserve">SP-01</t>
  </si>
  <si>
    <t xml:space="preserve">High Level Alarm</t>
  </si>
  <si>
    <t xml:space="preserve">high level float/sensor</t>
  </si>
  <si>
    <t xml:space="preserve">Active for 2 min. Flood risk — the OOH call-out trigger.</t>
  </si>
  <si>
    <t xml:space="preserve">SP-02</t>
  </si>
  <si>
    <t xml:space="preserve">Pump status available</t>
  </si>
  <si>
    <t xml:space="preserve">Commanded / level demand, no proof for 2 min.</t>
  </si>
  <si>
    <t xml:space="preserve">SP-03</t>
  </si>
  <si>
    <t xml:space="preserve">All Pumps Failed</t>
  </si>
  <si>
    <t xml:space="preserve">Multi-pump sump</t>
  </si>
  <si>
    <t xml:space="preserve">all pump statuses</t>
  </si>
  <si>
    <t xml:space="preserve">No pump available with level demand for 2 min.</t>
  </si>
  <si>
    <t xml:space="preserve">SP-04</t>
  </si>
  <si>
    <t xml:space="preserve">Excessive Cycling</t>
  </si>
  <si>
    <t xml:space="preserve">Starts per hour above baseline for 24 h. Rising inflow / failing check valve.</t>
  </si>
  <si>
    <t xml:space="preserve">SP-05</t>
  </si>
  <si>
    <t xml:space="preserve">Partial Sump Pump Failure (Redundancy Reduced)</t>
  </si>
  <si>
    <t xml:space="preserve">One sump pump failed or locked out while the remaining unit(s) carry the load. Service maintained — resilience reduced until repaired.</t>
  </si>
  <si>
    <t xml:space="preserve">Leak Detection</t>
  </si>
  <si>
    <t xml:space="preserve">LD-01</t>
  </si>
  <si>
    <t xml:space="preserve">Leak Detected</t>
  </si>
  <si>
    <t xml:space="preserve">zone alarm point</t>
  </si>
  <si>
    <t xml:space="preserve">Zone alarm active — immediate.</t>
  </si>
  <si>
    <t xml:space="preserve">LD-02</t>
  </si>
  <si>
    <t xml:space="preserve">Panel / Sensor Fault</t>
  </si>
  <si>
    <t xml:space="preserve">panel fault point</t>
  </si>
  <si>
    <t xml:space="preserve">Fault active for 15 min. Detection integrity.</t>
  </si>
  <si>
    <t xml:space="preserve">LD-03</t>
  </si>
  <si>
    <t xml:space="preserve">Zone Isolated Too Long</t>
  </si>
  <si>
    <t xml:space="preserve">Isolation visible</t>
  </si>
  <si>
    <t xml:space="preserve">zone isolation status</t>
  </si>
  <si>
    <t xml:space="preserve">Isolation active &gt; 24 h — typically left after works.</t>
  </si>
  <si>
    <t xml:space="preserve">Refrigerant Leak</t>
  </si>
  <si>
    <t xml:space="preserve">RL-01</t>
  </si>
  <si>
    <t xml:space="preserve">Refrigerant Leak Detected</t>
  </si>
  <si>
    <t xml:space="preserve">gas sensor / panel alarm</t>
  </si>
  <si>
    <t xml:space="preserve">Alarm active — immediate. Safety + F-Gas obligation.</t>
  </si>
  <si>
    <t xml:space="preserve">RL-02</t>
  </si>
  <si>
    <t xml:space="preserve">Detector / Panel Fault</t>
  </si>
  <si>
    <t xml:space="preserve">Fault active for 15 min.</t>
  </si>
  <si>
    <t xml:space="preserve">Smoke Control</t>
  </si>
  <si>
    <t xml:space="preserve">SC-01</t>
  </si>
  <si>
    <t xml:space="preserve">Pressurisation / Smoke Fan Failed</t>
  </si>
  <si>
    <t xml:space="preserve">Demanded (run or test), no proof within 60 s. Health monitoring via BMS interface — supplements, never replaces, the regulated smoke control system.</t>
  </si>
  <si>
    <t xml:space="preserve">SC-02</t>
  </si>
  <si>
    <t xml:space="preserve">System Fault Active</t>
  </si>
  <si>
    <t xml:space="preserve">system fault point</t>
  </si>
  <si>
    <t xml:space="preserve">SC-03</t>
  </si>
  <si>
    <t xml:space="preserve">Run history visible</t>
  </si>
  <si>
    <t xml:space="preserve">No test run within the scheduled period.</t>
  </si>
  <si>
    <t xml:space="preserve">Heat Exchanger (PHX)</t>
  </si>
  <si>
    <t xml:space="preserve">HX-01</t>
  </si>
  <si>
    <t xml:space="preserve">Delta-T Deviation Across PHX</t>
  </si>
  <si>
    <t xml:space="preserve">Both-side temps</t>
  </si>
  <si>
    <t xml:space="preserve">flow/return temps both sides</t>
  </si>
  <si>
    <t xml:space="preserve">Primary or secondary dT &lt; 60% of design at load for 2 h. Fouling / flow imbalance.</t>
  </si>
  <si>
    <t xml:space="preserve">HX-02</t>
  </si>
  <si>
    <t xml:space="preserve">Approach Temperature High</t>
  </si>
  <si>
    <t xml:space="preserve">primary + secondary flow temps</t>
  </si>
  <si>
    <t xml:space="preserve">Approach &gt; baseline + 2 C for 4 h. Fouling indicator.</t>
  </si>
  <si>
    <t xml:space="preserve">RCC FDD FAULT TABLES v1.5 — BGIS RCC · part of the controlled set: Standard v1.0 · Register v3.3 · Dashboard · Operator Tool</t>
  </si>
  <si>
    <t xml:space="preserve">The central design library: every fault we commit to detecting, with design intent and typical defaults.</t>
  </si>
  <si>
    <t xml:space="preserve">It defines WHAT gets detected and gives the designer a starting point; HOW is designed per building.</t>
  </si>
  <si>
    <t xml:space="preserve">The Register tracks per-building status; the Operator Tool derives per-asset applicability from this library.</t>
  </si>
  <si>
    <t xml:space="preserve">Severity: Critical / Warning / Alert / Info (definitions in the Standard, Section 4).</t>
  </si>
  <si>
    <t xml:space="preserve">OOH = also routes to the out-of-hours call-out chain. Routing, not severity.</t>
  </si>
  <si>
    <t xml:space="preserve">Lifecycle: Backlog → Built → Configured → Enabled → Validated (+ Blocked / NA). Enabled+Validated = live coverage; Validated = assured.</t>
  </si>
  <si>
    <t xml:space="preserve">FDDs satisfied by an existing KODE Event follow the same lifecycle and are marked Validated once confirmed suitable.</t>
  </si>
  <si>
    <t xml:space="preserve">COUNTS (live)</t>
  </si>
  <si>
    <t xml:space="preserve">Total faults</t>
  </si>
  <si>
    <t xml:space="preserve">OOH-routed</t>
  </si>
  <si>
    <t>Pumps (Primary)</t>
  </si>
  <si>
    <t>Pumps (Secondary)</t>
  </si>
  <si>
    <t>SPMP-01</t>
  </si>
  <si>
    <t>Secondary Pump Failed</t>
  </si>
  <si>
    <t>spump_cmd, spump_status</t>
  </si>
  <si>
    <t>Commanded ON, no proof for 2 min. Loss of a secondary (distribution) pump — falls to standby if fitted, otherwise loss of flow to the served loop.</t>
  </si>
  <si>
    <t>SPMP-02</t>
  </si>
  <si>
    <t>Commanded OFF &gt;= 5 min, status ON for 30 min. Secondary pump left in hand after works — bypasses dP control and staging.</t>
  </si>
  <si>
    <t>SPMP-03</t>
  </si>
  <si>
    <t>spump_status</t>
  </si>
  <si>
    <t>&gt; 6 starts per hour for 2 h. On a staged secondary set this usually means a staging deadband that is too tight or a dP setpoint fighting the valves.</t>
  </si>
  <si>
    <t>SPMP-04</t>
  </si>
  <si>
    <t>spump_status, dP/flow</t>
  </si>
  <si>
    <t>Running with dP or flow near zero for 15 min (deadhead, closed isolation, coupling failure) — distribution not actually circulating.</t>
  </si>
  <si>
    <t>SPMP-05</t>
  </si>
  <si>
    <t>Duty/standby set</t>
  </si>
  <si>
    <t>all secondary pump statuses</t>
  </si>
  <si>
    <t>Same secondary pump leading beyond the rotation period — changeover failure hides a dormant standby fault until the duty pump drops.</t>
  </si>
  <si>
    <t>SPMP-06</t>
  </si>
  <si>
    <t>All Secondary Pumps on Circuit Failed</t>
  </si>
  <si>
    <t>all secondary pump statuses on circuit</t>
  </si>
  <si>
    <t>No secondary pump proving on a distribution circuit with demand for 5 min. Circuit-level parent fault — total loss of flow to the served loop (LTHW/CHW distribution). The OOH call-out trigger for the secondary side.</t>
  </si>
  <si>
    <t>SPMP-07</t>
  </si>
  <si>
    <t>secondary pump statuses</t>
  </si>
  <si>
    <t>Standby carrying duty after a secondary pump failure. Distribution maintained; resilience lost until repaired.</t>
  </si>
  <si>
    <t>SPMP-08</t>
  </si>
  <si>
    <t>Speed &gt;= 95%, dP &lt; setpoint − tolerance for 30 min. The secondary set is at capacity and still under its differential-pressure target — undersized, blocked, or too many open branches.</t>
  </si>
  <si>
    <t>SPMP-09</t>
  </si>
  <si>
    <t>Speed Saturated (Running at Max)</t>
  </si>
  <si>
    <t>&gt;= 95% for 4 h. Lead indicator on the secondary set — sizing, dP setpoint or valve-authority issue building toward a pressure-not-achieved fault.</t>
  </si>
  <si>
    <t>SPMP-10</t>
  </si>
  <si>
    <t>Running at Minimum Speed</t>
  </si>
  <si>
    <t>Speed pinned at the minimum limit with demand present for 4 h. Oversized secondary pump, dP setpoint set too low, or two-port valves barely modulating — wasted energy and poor authority.</t>
  </si>
  <si>
    <t>SPMP-11</t>
  </si>
  <si>
    <t>dP Control Sensor Flatlined</t>
  </si>
  <si>
    <t>dP control sensor</t>
  </si>
  <si>
    <t>The differential-pressure control sensor shows no change beyond deadband for 4 h while the set is running. A stuck dP sensor drives the whole secondary set open-loop — suppress dependent speed/pressure alerts while this is active.</t>
  </si>
  <si>
    <t>SPMP-12</t>
  </si>
  <si>
    <t>Staging Not Responding to Demand</t>
  </si>
  <si>
    <t>Multi-pump VSD set</t>
  </si>
  <si>
    <t>speed, dP, dP_sp, pump count</t>
  </si>
  <si>
    <t>Lead pump at full speed with dP still under target for a sustained period and no additional pump staged in (or the reverse: pumps not shedding at low demand). Staging control not tracking the load.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</si>
</sst>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1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F4E5F"/>
        <bgColor rgb="FF333333"/>
      </patternFill>
    </fill>
    <fill>
      <patternFill patternType="solid">
        <fgColor rgb="FFF4CCCC"/>
        <bgColor rgb="FFE1D5E7"/>
      </patternFill>
    </fill>
    <fill>
      <patternFill patternType="solid">
        <fgColor rgb="FFE1D5E7"/>
        <bgColor rgb="FFD9E5EB"/>
      </patternFill>
    </fill>
    <fill>
      <patternFill patternType="solid">
        <fgColor rgb="FFFCE5CD"/>
        <bgColor rgb="FFE8E8E8"/>
      </patternFill>
    </fill>
    <fill>
      <patternFill patternType="solid">
        <fgColor rgb="FFD9E5EB"/>
        <bgColor rgb="FFE8E8E8"/>
      </patternFill>
    </fill>
    <fill>
      <patternFill patternType="solid">
        <fgColor rgb="FFE8E8E8"/>
        <bgColor rgb="FFD9E5EB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5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7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8">
    <dxf>
      <fill>
        <patternFill patternType="solid">
          <fgColor rgb="FF1F4E5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D9E5EB"/>
          <bgColor rgb="FF000000"/>
        </patternFill>
      </fill>
    </dxf>
    <dxf>
      <fill>
        <patternFill patternType="solid">
          <fgColor rgb="FFE8E8E8"/>
          <bgColor rgb="FF000000"/>
        </patternFill>
      </fill>
    </dxf>
    <dxf>
      <fill>
        <patternFill patternType="solid">
          <fgColor rgb="FFF4CCCC"/>
          <bgColor rgb="FF000000"/>
        </patternFill>
      </fill>
    </dxf>
    <dxf>
      <fill>
        <patternFill patternType="solid">
          <fgColor rgb="FFFCE5CD"/>
          <bgColor rgb="FF000000"/>
        </patternFill>
      </fill>
    </dxf>
    <dxf>
      <fill>
        <patternFill patternType="solid">
          <fgColor rgb="FFE1D5E7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CE5CD"/>
      <rgbColor rgb="FFD9E5EB"/>
      <rgbColor rgb="FF660066"/>
      <rgbColor rgb="FFFF8080"/>
      <rgbColor rgb="FF0066CC"/>
      <rgbColor rgb="FFE1D5E7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8E8E8"/>
      <rgbColor rgb="FFCCFFCC"/>
      <rgbColor rgb="FFFFFF99"/>
      <rgbColor rgb="FF99CCFF"/>
      <rgbColor rgb="FFFF99CC"/>
      <rgbColor rgb="FFCC99FF"/>
      <rgbColor rgb="FFF4CCCC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4E5F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9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9"/>
    <col collapsed="false" customWidth="true" hidden="false" outlineLevel="0" max="3" min="3" style="0" width="28"/>
    <col collapsed="false" customWidth="true" hidden="false" outlineLevel="0" max="4" min="4" style="0" width="10"/>
    <col collapsed="false" customWidth="true" hidden="false" outlineLevel="0" max="5" min="5" style="0" width="6"/>
    <col collapsed="false" customWidth="true" hidden="false" outlineLevel="0" max="6" min="6" style="0" width="20"/>
    <col collapsed="false" customWidth="true" hidden="false" outlineLevel="0" max="7" min="7" style="0" width="25"/>
    <col collapsed="false" customWidth="true" hidden="false" outlineLevel="0" max="8" min="8" style="0" width="58"/>
    <col collapsed="false" customWidth="true" hidden="false" outlineLevel="0" max="9" min="9" style="0" width="24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customFormat="false" ht="23.85" hidden="false" customHeight="false" outlineLevel="0" collapsed="false">
      <c r="A2" s="2" t="s">
        <v>9</v>
      </c>
      <c r="B2" s="3" t="s">
        <v>10</v>
      </c>
      <c r="C2" s="2" t="s">
        <v>11</v>
      </c>
      <c r="D2" s="4" t="s">
        <v>12</v>
      </c>
      <c r="E2" s="5" t="s">
        <v>13</v>
      </c>
      <c r="F2" s="2" t="s">
        <v>14</v>
      </c>
      <c r="G2" s="2" t="s">
        <v>15</v>
      </c>
      <c r="H2" s="2" t="s">
        <v>16</v>
      </c>
      <c r="I2" s="2"/>
    </row>
    <row r="3" customFormat="false" ht="15" hidden="false" customHeight="false" outlineLevel="0" collapsed="false">
      <c r="A3" s="2" t="s">
        <v>9</v>
      </c>
      <c r="B3" s="3" t="s">
        <v>17</v>
      </c>
      <c r="C3" s="2" t="s">
        <v>18</v>
      </c>
      <c r="D3" s="6" t="s">
        <v>19</v>
      </c>
      <c r="E3" s="2"/>
      <c r="F3" s="2" t="s">
        <v>14</v>
      </c>
      <c r="G3" s="2" t="s">
        <v>15</v>
      </c>
      <c r="H3" s="2" t="s">
        <v>20</v>
      </c>
      <c r="I3" s="2"/>
    </row>
    <row r="4" customFormat="false" ht="15" hidden="false" customHeight="false" outlineLevel="0" collapsed="false">
      <c r="A4" s="2" t="s">
        <v>9</v>
      </c>
      <c r="B4" s="3" t="s">
        <v>21</v>
      </c>
      <c r="C4" s="2" t="s">
        <v>22</v>
      </c>
      <c r="D4" s="6" t="s">
        <v>19</v>
      </c>
      <c r="E4" s="2"/>
      <c r="F4" s="2" t="s">
        <v>14</v>
      </c>
      <c r="G4" s="2" t="s">
        <v>23</v>
      </c>
      <c r="H4" s="2" t="s">
        <v>24</v>
      </c>
      <c r="I4" s="2"/>
    </row>
    <row r="5" customFormat="false" ht="23.85" hidden="false" customHeight="false" outlineLevel="0" collapsed="false">
      <c r="A5" s="2" t="s">
        <v>9</v>
      </c>
      <c r="B5" s="3" t="s">
        <v>25</v>
      </c>
      <c r="C5" s="2" t="s">
        <v>26</v>
      </c>
      <c r="D5" s="6" t="s">
        <v>19</v>
      </c>
      <c r="E5" s="2"/>
      <c r="F5" s="2" t="s">
        <v>14</v>
      </c>
      <c r="G5" s="2" t="s">
        <v>27</v>
      </c>
      <c r="H5" s="2" t="s">
        <v>28</v>
      </c>
      <c r="I5" s="2"/>
    </row>
    <row r="6" customFormat="false" ht="15" hidden="false" customHeight="false" outlineLevel="0" collapsed="false">
      <c r="A6" s="2" t="s">
        <v>9</v>
      </c>
      <c r="B6" s="3" t="s">
        <v>29</v>
      </c>
      <c r="C6" s="2" t="s">
        <v>30</v>
      </c>
      <c r="D6" s="6" t="s">
        <v>19</v>
      </c>
      <c r="E6" s="2"/>
      <c r="F6" s="2" t="s">
        <v>14</v>
      </c>
      <c r="G6" s="2" t="s">
        <v>27</v>
      </c>
      <c r="H6" s="2" t="s">
        <v>31</v>
      </c>
      <c r="I6" s="2"/>
    </row>
    <row r="7" customFormat="false" ht="23.85" hidden="false" customHeight="false" outlineLevel="0" collapsed="false">
      <c r="A7" s="2" t="s">
        <v>9</v>
      </c>
      <c r="B7" s="3" t="s">
        <v>32</v>
      </c>
      <c r="C7" s="2" t="s">
        <v>33</v>
      </c>
      <c r="D7" s="6" t="s">
        <v>19</v>
      </c>
      <c r="E7" s="2"/>
      <c r="F7" s="2" t="s">
        <v>14</v>
      </c>
      <c r="G7" s="2" t="s">
        <v>34</v>
      </c>
      <c r="H7" s="2" t="s">
        <v>35</v>
      </c>
      <c r="I7" s="2"/>
    </row>
    <row r="8" customFormat="false" ht="15" hidden="false" customHeight="false" outlineLevel="0" collapsed="false">
      <c r="A8" s="2" t="s">
        <v>9</v>
      </c>
      <c r="B8" s="3" t="s">
        <v>36</v>
      </c>
      <c r="C8" s="2" t="s">
        <v>37</v>
      </c>
      <c r="D8" s="4" t="s">
        <v>12</v>
      </c>
      <c r="E8" s="2"/>
      <c r="F8" s="2" t="s">
        <v>14</v>
      </c>
      <c r="G8" s="2" t="s">
        <v>38</v>
      </c>
      <c r="H8" s="2" t="s">
        <v>39</v>
      </c>
      <c r="I8" s="2"/>
    </row>
    <row r="9" customFormat="false" ht="15" hidden="false" customHeight="false" outlineLevel="0" collapsed="false">
      <c r="A9" s="2" t="s">
        <v>9</v>
      </c>
      <c r="B9" s="3" t="s">
        <v>40</v>
      </c>
      <c r="C9" s="2" t="s">
        <v>41</v>
      </c>
      <c r="D9" s="7" t="s">
        <v>42</v>
      </c>
      <c r="E9" s="2"/>
      <c r="F9" s="2" t="s">
        <v>14</v>
      </c>
      <c r="G9" s="2" t="s">
        <v>23</v>
      </c>
      <c r="H9" s="2" t="s">
        <v>43</v>
      </c>
      <c r="I9" s="2"/>
    </row>
    <row r="10" customFormat="false" ht="15" hidden="false" customHeight="false" outlineLevel="0" collapsed="false">
      <c r="A10" s="2" t="s">
        <v>9</v>
      </c>
      <c r="B10" s="3" t="s">
        <v>44</v>
      </c>
      <c r="C10" s="2" t="s">
        <v>45</v>
      </c>
      <c r="D10" s="6" t="s">
        <v>19</v>
      </c>
      <c r="E10" s="2"/>
      <c r="F10" s="2" t="s">
        <v>46</v>
      </c>
      <c r="G10" s="2" t="s">
        <v>47</v>
      </c>
      <c r="H10" s="2" t="s">
        <v>48</v>
      </c>
      <c r="I10" s="2"/>
    </row>
    <row r="11" customFormat="false" ht="15" hidden="false" customHeight="false" outlineLevel="0" collapsed="false">
      <c r="A11" s="2" t="s">
        <v>9</v>
      </c>
      <c r="B11" s="3" t="s">
        <v>49</v>
      </c>
      <c r="C11" s="2" t="s">
        <v>50</v>
      </c>
      <c r="D11" s="7" t="s">
        <v>42</v>
      </c>
      <c r="E11" s="2"/>
      <c r="F11" s="2" t="s">
        <v>46</v>
      </c>
      <c r="G11" s="2" t="s">
        <v>51</v>
      </c>
      <c r="H11" s="2" t="s">
        <v>52</v>
      </c>
      <c r="I11" s="2"/>
    </row>
    <row r="12" customFormat="false" ht="15" hidden="false" customHeight="false" outlineLevel="0" collapsed="false">
      <c r="A12" s="2" t="s">
        <v>9</v>
      </c>
      <c r="B12" s="3" t="s">
        <v>53</v>
      </c>
      <c r="C12" s="2" t="s">
        <v>54</v>
      </c>
      <c r="D12" s="6" t="s">
        <v>19</v>
      </c>
      <c r="E12" s="2"/>
      <c r="F12" s="2" t="s">
        <v>46</v>
      </c>
      <c r="G12" s="2" t="s">
        <v>55</v>
      </c>
      <c r="H12" s="2" t="s">
        <v>56</v>
      </c>
      <c r="I12" s="2"/>
    </row>
    <row r="13" customFormat="false" ht="15" hidden="false" customHeight="false" outlineLevel="0" collapsed="false">
      <c r="A13" s="2" t="s">
        <v>9</v>
      </c>
      <c r="B13" s="3" t="s">
        <v>57</v>
      </c>
      <c r="C13" s="2" t="s">
        <v>58</v>
      </c>
      <c r="D13" s="6" t="s">
        <v>19</v>
      </c>
      <c r="E13" s="2"/>
      <c r="F13" s="2" t="s">
        <v>59</v>
      </c>
      <c r="G13" s="2" t="s">
        <v>60</v>
      </c>
      <c r="H13" s="2" t="s">
        <v>61</v>
      </c>
      <c r="I13" s="2"/>
    </row>
    <row r="14" customFormat="false" ht="15" hidden="false" customHeight="false" outlineLevel="0" collapsed="false">
      <c r="A14" s="2" t="s">
        <v>9</v>
      </c>
      <c r="B14" s="3" t="s">
        <v>62</v>
      </c>
      <c r="C14" s="2" t="s">
        <v>63</v>
      </c>
      <c r="D14" s="7" t="s">
        <v>42</v>
      </c>
      <c r="E14" s="2"/>
      <c r="F14" s="2" t="s">
        <v>59</v>
      </c>
      <c r="G14" s="2" t="s">
        <v>64</v>
      </c>
      <c r="H14" s="2" t="s">
        <v>65</v>
      </c>
      <c r="I14" s="2"/>
    </row>
    <row r="15" customFormat="false" ht="15" hidden="false" customHeight="false" outlineLevel="0" collapsed="false">
      <c r="A15" s="2" t="s">
        <v>9</v>
      </c>
      <c r="B15" s="3" t="s">
        <v>66</v>
      </c>
      <c r="C15" s="2" t="s">
        <v>67</v>
      </c>
      <c r="D15" s="6" t="s">
        <v>19</v>
      </c>
      <c r="E15" s="2"/>
      <c r="F15" s="2" t="s">
        <v>59</v>
      </c>
      <c r="G15" s="2" t="s">
        <v>68</v>
      </c>
      <c r="H15" s="2" t="s">
        <v>69</v>
      </c>
      <c r="I15" s="2"/>
    </row>
    <row r="16" customFormat="false" ht="15" hidden="false" customHeight="false" outlineLevel="0" collapsed="false">
      <c r="A16" s="2" t="s">
        <v>9</v>
      </c>
      <c r="B16" s="3" t="s">
        <v>70</v>
      </c>
      <c r="C16" s="2" t="s">
        <v>71</v>
      </c>
      <c r="D16" s="6" t="s">
        <v>19</v>
      </c>
      <c r="E16" s="2"/>
      <c r="F16" s="2" t="s">
        <v>72</v>
      </c>
      <c r="G16" s="2" t="s">
        <v>73</v>
      </c>
      <c r="H16" s="2" t="s">
        <v>74</v>
      </c>
      <c r="I16" s="2"/>
    </row>
    <row r="17" customFormat="false" ht="23.85" hidden="false" customHeight="false" outlineLevel="0" collapsed="false">
      <c r="A17" s="2" t="s">
        <v>9</v>
      </c>
      <c r="B17" s="3" t="s">
        <v>75</v>
      </c>
      <c r="C17" s="2" t="s">
        <v>76</v>
      </c>
      <c r="D17" s="7" t="s">
        <v>42</v>
      </c>
      <c r="E17" s="2"/>
      <c r="F17" s="2" t="s">
        <v>77</v>
      </c>
      <c r="G17" s="2" t="s">
        <v>78</v>
      </c>
      <c r="H17" s="2" t="s">
        <v>79</v>
      </c>
      <c r="I17" s="2"/>
    </row>
    <row r="18" customFormat="false" ht="15" hidden="false" customHeight="false" outlineLevel="0" collapsed="false">
      <c r="A18" s="2" t="s">
        <v>9</v>
      </c>
      <c r="B18" s="3" t="s">
        <v>80</v>
      </c>
      <c r="C18" s="2" t="s">
        <v>81</v>
      </c>
      <c r="D18" s="6" t="s">
        <v>19</v>
      </c>
      <c r="E18" s="2"/>
      <c r="F18" s="2" t="s">
        <v>77</v>
      </c>
      <c r="G18" s="2" t="s">
        <v>82</v>
      </c>
      <c r="H18" s="2" t="s">
        <v>83</v>
      </c>
      <c r="I18" s="2"/>
    </row>
    <row r="19" customFormat="false" ht="23.85" hidden="false" customHeight="false" outlineLevel="0" collapsed="false">
      <c r="A19" s="2" t="s">
        <v>9</v>
      </c>
      <c r="B19" s="3" t="s">
        <v>84</v>
      </c>
      <c r="C19" s="2" t="s">
        <v>85</v>
      </c>
      <c r="D19" s="6" t="s">
        <v>19</v>
      </c>
      <c r="E19" s="2"/>
      <c r="F19" s="2" t="s">
        <v>77</v>
      </c>
      <c r="G19" s="2" t="s">
        <v>86</v>
      </c>
      <c r="H19" s="2" t="s">
        <v>87</v>
      </c>
      <c r="I19" s="2"/>
    </row>
    <row r="20" customFormat="false" ht="23.85" hidden="false" customHeight="false" outlineLevel="0" collapsed="false">
      <c r="A20" s="2" t="s">
        <v>9</v>
      </c>
      <c r="B20" s="3" t="s">
        <v>88</v>
      </c>
      <c r="C20" s="2" t="s">
        <v>89</v>
      </c>
      <c r="D20" s="6" t="s">
        <v>19</v>
      </c>
      <c r="E20" s="2"/>
      <c r="F20" s="2" t="s">
        <v>77</v>
      </c>
      <c r="G20" s="2" t="s">
        <v>90</v>
      </c>
      <c r="H20" s="2" t="s">
        <v>91</v>
      </c>
      <c r="I20" s="2"/>
    </row>
    <row r="21" customFormat="false" ht="15" hidden="false" customHeight="false" outlineLevel="0" collapsed="false">
      <c r="A21" s="2" t="s">
        <v>9</v>
      </c>
      <c r="B21" s="3" t="s">
        <v>92</v>
      </c>
      <c r="C21" s="2" t="s">
        <v>93</v>
      </c>
      <c r="D21" s="6" t="s">
        <v>19</v>
      </c>
      <c r="E21" s="2"/>
      <c r="F21" s="2" t="s">
        <v>94</v>
      </c>
      <c r="G21" s="2" t="s">
        <v>95</v>
      </c>
      <c r="H21" s="2" t="s">
        <v>96</v>
      </c>
      <c r="I21" s="2"/>
    </row>
    <row r="22" customFormat="false" ht="15" hidden="false" customHeight="false" outlineLevel="0" collapsed="false">
      <c r="A22" s="2" t="s">
        <v>9</v>
      </c>
      <c r="B22" s="3" t="s">
        <v>97</v>
      </c>
      <c r="C22" s="2" t="s">
        <v>98</v>
      </c>
      <c r="D22" s="7" t="s">
        <v>42</v>
      </c>
      <c r="E22" s="2"/>
      <c r="F22" s="2" t="s">
        <v>99</v>
      </c>
      <c r="G22" s="2" t="s">
        <v>100</v>
      </c>
      <c r="H22" s="2" t="s">
        <v>101</v>
      </c>
      <c r="I22" s="2"/>
    </row>
    <row r="23" customFormat="false" ht="23.85" hidden="false" customHeight="false" outlineLevel="0" collapsed="false">
      <c r="A23" s="2" t="s">
        <v>9</v>
      </c>
      <c r="B23" s="3" t="s">
        <v>102</v>
      </c>
      <c r="C23" s="2" t="s">
        <v>103</v>
      </c>
      <c r="D23" s="6" t="s">
        <v>19</v>
      </c>
      <c r="E23" s="2"/>
      <c r="F23" s="2" t="s">
        <v>99</v>
      </c>
      <c r="G23" s="2" t="s">
        <v>104</v>
      </c>
      <c r="H23" s="2" t="s">
        <v>105</v>
      </c>
      <c r="I23" s="2"/>
    </row>
    <row r="24" customFormat="false" ht="23.85" hidden="false" customHeight="false" outlineLevel="0" collapsed="false">
      <c r="A24" s="2" t="s">
        <v>9</v>
      </c>
      <c r="B24" s="3" t="s">
        <v>106</v>
      </c>
      <c r="C24" s="2" t="s">
        <v>107</v>
      </c>
      <c r="D24" s="7" t="s">
        <v>42</v>
      </c>
      <c r="E24" s="2"/>
      <c r="F24" s="2" t="s">
        <v>108</v>
      </c>
      <c r="G24" s="2" t="s">
        <v>109</v>
      </c>
      <c r="H24" s="2" t="s">
        <v>110</v>
      </c>
      <c r="I24" s="2"/>
    </row>
    <row r="25" customFormat="false" ht="15" hidden="false" customHeight="false" outlineLevel="0" collapsed="false">
      <c r="A25" s="2" t="s">
        <v>9</v>
      </c>
      <c r="B25" s="3" t="s">
        <v>111</v>
      </c>
      <c r="C25" s="2" t="s">
        <v>112</v>
      </c>
      <c r="D25" s="7" t="s">
        <v>42</v>
      </c>
      <c r="E25" s="2"/>
      <c r="F25" s="2" t="s">
        <v>108</v>
      </c>
      <c r="G25" s="2" t="s">
        <v>113</v>
      </c>
      <c r="H25" s="2" t="s">
        <v>114</v>
      </c>
      <c r="I25" s="2"/>
    </row>
    <row r="26" customFormat="false" ht="15" hidden="false" customHeight="false" outlineLevel="0" collapsed="false">
      <c r="A26" s="2" t="s">
        <v>9</v>
      </c>
      <c r="B26" s="3" t="s">
        <v>115</v>
      </c>
      <c r="C26" s="2" t="s">
        <v>116</v>
      </c>
      <c r="D26" s="4" t="s">
        <v>12</v>
      </c>
      <c r="E26" s="2"/>
      <c r="F26" s="2" t="s">
        <v>117</v>
      </c>
      <c r="G26" s="2" t="s">
        <v>118</v>
      </c>
      <c r="H26" s="2" t="s">
        <v>119</v>
      </c>
      <c r="I26" s="2"/>
    </row>
    <row r="27" customFormat="false" ht="23.85" hidden="false" customHeight="false" outlineLevel="0" collapsed="false">
      <c r="A27" s="2" t="s">
        <v>9</v>
      </c>
      <c r="B27" s="3" t="s">
        <v>120</v>
      </c>
      <c r="C27" s="2" t="s">
        <v>121</v>
      </c>
      <c r="D27" s="6" t="s">
        <v>19</v>
      </c>
      <c r="E27" s="2"/>
      <c r="F27" s="2" t="s">
        <v>122</v>
      </c>
      <c r="G27" s="2" t="s">
        <v>123</v>
      </c>
      <c r="H27" s="2" t="s">
        <v>124</v>
      </c>
      <c r="I27" s="2"/>
    </row>
    <row r="28" customFormat="false" ht="23.85" hidden="false" customHeight="false" outlineLevel="0" collapsed="false">
      <c r="A28" s="2" t="s">
        <v>9</v>
      </c>
      <c r="B28" s="3" t="s">
        <v>125</v>
      </c>
      <c r="C28" s="2" t="s">
        <v>126</v>
      </c>
      <c r="D28" s="6" t="s">
        <v>19</v>
      </c>
      <c r="E28" s="2"/>
      <c r="F28" s="2" t="s">
        <v>127</v>
      </c>
      <c r="G28" s="2" t="s">
        <v>128</v>
      </c>
      <c r="H28" s="2" t="s">
        <v>129</v>
      </c>
      <c r="I28" s="2"/>
    </row>
    <row r="29" customFormat="false" ht="23.85" hidden="false" customHeight="false" outlineLevel="0" collapsed="false">
      <c r="A29" s="2" t="s">
        <v>9</v>
      </c>
      <c r="B29" s="3" t="s">
        <v>130</v>
      </c>
      <c r="C29" s="2" t="s">
        <v>131</v>
      </c>
      <c r="D29" s="6" t="s">
        <v>19</v>
      </c>
      <c r="E29" s="2"/>
      <c r="F29" s="2" t="s">
        <v>132</v>
      </c>
      <c r="G29" s="2" t="s">
        <v>133</v>
      </c>
      <c r="H29" s="2" t="s">
        <v>134</v>
      </c>
      <c r="I29" s="2"/>
    </row>
    <row r="30" customFormat="false" ht="15" hidden="false" customHeight="false" outlineLevel="0" collapsed="false">
      <c r="A30" s="2" t="s">
        <v>9</v>
      </c>
      <c r="B30" s="3" t="s">
        <v>135</v>
      </c>
      <c r="C30" s="2" t="s">
        <v>136</v>
      </c>
      <c r="D30" s="6" t="s">
        <v>19</v>
      </c>
      <c r="E30" s="2"/>
      <c r="F30" s="2" t="s">
        <v>137</v>
      </c>
      <c r="G30" s="2" t="s">
        <v>138</v>
      </c>
      <c r="H30" s="2" t="s">
        <v>139</v>
      </c>
      <c r="I30" s="2"/>
    </row>
    <row r="31" customFormat="false" ht="15" hidden="false" customHeight="false" outlineLevel="0" collapsed="false">
      <c r="A31" s="2" t="s">
        <v>9</v>
      </c>
      <c r="B31" s="3" t="s">
        <v>140</v>
      </c>
      <c r="C31" s="2" t="s">
        <v>141</v>
      </c>
      <c r="D31" s="7" t="s">
        <v>42</v>
      </c>
      <c r="E31" s="2"/>
      <c r="F31" s="2" t="s">
        <v>142</v>
      </c>
      <c r="G31" s="2" t="s">
        <v>143</v>
      </c>
      <c r="H31" s="2" t="s">
        <v>144</v>
      </c>
      <c r="I31" s="2"/>
    </row>
    <row r="32" customFormat="false" ht="23.85" hidden="false" customHeight="false" outlineLevel="0" collapsed="false">
      <c r="A32" s="2" t="s">
        <v>9</v>
      </c>
      <c r="B32" s="3" t="s">
        <v>145</v>
      </c>
      <c r="C32" s="2" t="s">
        <v>146</v>
      </c>
      <c r="D32" s="7" t="s">
        <v>42</v>
      </c>
      <c r="E32" s="2"/>
      <c r="F32" s="2" t="s">
        <v>147</v>
      </c>
      <c r="G32" s="2" t="s">
        <v>148</v>
      </c>
      <c r="H32" s="2" t="s">
        <v>149</v>
      </c>
      <c r="I32" s="2"/>
    </row>
    <row r="33" customFormat="false" ht="23.85" hidden="false" customHeight="false" outlineLevel="0" collapsed="false">
      <c r="A33" s="2" t="s">
        <v>9</v>
      </c>
      <c r="B33" s="3" t="s">
        <v>150</v>
      </c>
      <c r="C33" s="2" t="s">
        <v>151</v>
      </c>
      <c r="D33" s="7" t="s">
        <v>42</v>
      </c>
      <c r="E33" s="2"/>
      <c r="F33" s="2" t="s">
        <v>152</v>
      </c>
      <c r="G33" s="2" t="s">
        <v>153</v>
      </c>
      <c r="H33" s="2" t="s">
        <v>154</v>
      </c>
      <c r="I33" s="2"/>
    </row>
    <row r="34" customFormat="false" ht="23.85" hidden="false" customHeight="false" outlineLevel="0" collapsed="false">
      <c r="A34" s="2" t="s">
        <v>155</v>
      </c>
      <c r="B34" s="3" t="s">
        <v>156</v>
      </c>
      <c r="C34" s="2" t="s">
        <v>157</v>
      </c>
      <c r="D34" s="4" t="s">
        <v>12</v>
      </c>
      <c r="E34" s="2"/>
      <c r="F34" s="2" t="s">
        <v>158</v>
      </c>
      <c r="G34" s="2" t="s">
        <v>15</v>
      </c>
      <c r="H34" s="2" t="s">
        <v>159</v>
      </c>
      <c r="I34" s="2"/>
    </row>
    <row r="35" customFormat="false" ht="15" hidden="false" customHeight="false" outlineLevel="0" collapsed="false">
      <c r="A35" s="2" t="s">
        <v>155</v>
      </c>
      <c r="B35" s="3" t="s">
        <v>160</v>
      </c>
      <c r="C35" s="2" t="s">
        <v>18</v>
      </c>
      <c r="D35" s="6" t="s">
        <v>19</v>
      </c>
      <c r="E35" s="2"/>
      <c r="F35" s="2" t="s">
        <v>158</v>
      </c>
      <c r="G35" s="2" t="s">
        <v>15</v>
      </c>
      <c r="H35" s="2" t="s">
        <v>20</v>
      </c>
      <c r="I35" s="2"/>
    </row>
    <row r="36" customFormat="false" ht="15" hidden="false" customHeight="false" outlineLevel="0" collapsed="false">
      <c r="A36" s="2" t="s">
        <v>155</v>
      </c>
      <c r="B36" s="3" t="s">
        <v>161</v>
      </c>
      <c r="C36" s="2" t="s">
        <v>26</v>
      </c>
      <c r="D36" s="6" t="s">
        <v>19</v>
      </c>
      <c r="E36" s="2"/>
      <c r="F36" s="2" t="s">
        <v>14</v>
      </c>
      <c r="G36" s="2" t="s">
        <v>27</v>
      </c>
      <c r="H36" s="2" t="s">
        <v>162</v>
      </c>
      <c r="I36" s="2"/>
    </row>
    <row r="37" customFormat="false" ht="15" hidden="false" customHeight="false" outlineLevel="0" collapsed="false">
      <c r="A37" s="2" t="s">
        <v>155</v>
      </c>
      <c r="B37" s="3" t="s">
        <v>163</v>
      </c>
      <c r="C37" s="2" t="s">
        <v>30</v>
      </c>
      <c r="D37" s="6" t="s">
        <v>19</v>
      </c>
      <c r="E37" s="2"/>
      <c r="F37" s="2" t="s">
        <v>14</v>
      </c>
      <c r="G37" s="2" t="s">
        <v>27</v>
      </c>
      <c r="H37" s="2" t="s">
        <v>164</v>
      </c>
      <c r="I37" s="2"/>
    </row>
    <row r="38" customFormat="false" ht="15" hidden="false" customHeight="false" outlineLevel="0" collapsed="false">
      <c r="A38" s="2" t="s">
        <v>155</v>
      </c>
      <c r="B38" s="3" t="s">
        <v>165</v>
      </c>
      <c r="C38" s="2" t="s">
        <v>33</v>
      </c>
      <c r="D38" s="6" t="s">
        <v>19</v>
      </c>
      <c r="E38" s="2"/>
      <c r="F38" s="2" t="s">
        <v>14</v>
      </c>
      <c r="G38" s="2" t="s">
        <v>166</v>
      </c>
      <c r="H38" s="2" t="s">
        <v>167</v>
      </c>
      <c r="I38" s="2"/>
    </row>
    <row r="39" customFormat="false" ht="23.85" hidden="false" customHeight="false" outlineLevel="0" collapsed="false">
      <c r="A39" s="2" t="s">
        <v>155</v>
      </c>
      <c r="B39" s="3" t="s">
        <v>168</v>
      </c>
      <c r="C39" s="2" t="s">
        <v>169</v>
      </c>
      <c r="D39" s="6" t="s">
        <v>19</v>
      </c>
      <c r="E39" s="2"/>
      <c r="F39" s="2" t="s">
        <v>59</v>
      </c>
      <c r="G39" s="2" t="s">
        <v>170</v>
      </c>
      <c r="H39" s="2" t="s">
        <v>171</v>
      </c>
      <c r="I39" s="2"/>
    </row>
    <row r="40" customFormat="false" ht="23.85" hidden="false" customHeight="false" outlineLevel="0" collapsed="false">
      <c r="A40" s="2" t="s">
        <v>155</v>
      </c>
      <c r="B40" s="3" t="s">
        <v>172</v>
      </c>
      <c r="C40" s="2" t="s">
        <v>173</v>
      </c>
      <c r="D40" s="6" t="s">
        <v>19</v>
      </c>
      <c r="E40" s="2"/>
      <c r="F40" s="2" t="s">
        <v>46</v>
      </c>
      <c r="G40" s="2" t="s">
        <v>174</v>
      </c>
      <c r="H40" s="2" t="s">
        <v>175</v>
      </c>
      <c r="I40" s="2"/>
    </row>
    <row r="41" customFormat="false" ht="15" hidden="false" customHeight="false" outlineLevel="0" collapsed="false">
      <c r="A41" s="2" t="s">
        <v>155</v>
      </c>
      <c r="B41" s="3" t="s">
        <v>176</v>
      </c>
      <c r="C41" s="2" t="s">
        <v>71</v>
      </c>
      <c r="D41" s="6" t="s">
        <v>19</v>
      </c>
      <c r="E41" s="2"/>
      <c r="F41" s="2" t="s">
        <v>177</v>
      </c>
      <c r="G41" s="2" t="s">
        <v>73</v>
      </c>
      <c r="H41" s="2" t="s">
        <v>178</v>
      </c>
      <c r="I41" s="2"/>
    </row>
    <row r="42" customFormat="false" ht="23.85" hidden="false" customHeight="false" outlineLevel="0" collapsed="false">
      <c r="A42" s="2" t="s">
        <v>155</v>
      </c>
      <c r="B42" s="3" t="s">
        <v>179</v>
      </c>
      <c r="C42" s="2" t="s">
        <v>180</v>
      </c>
      <c r="D42" s="6" t="s">
        <v>19</v>
      </c>
      <c r="E42" s="2"/>
      <c r="F42" s="2" t="s">
        <v>181</v>
      </c>
      <c r="G42" s="2" t="s">
        <v>182</v>
      </c>
      <c r="H42" s="2" t="s">
        <v>183</v>
      </c>
      <c r="I42" s="2"/>
    </row>
    <row r="43" customFormat="false" ht="23.85" hidden="false" customHeight="false" outlineLevel="0" collapsed="false">
      <c r="A43" s="2" t="s">
        <v>155</v>
      </c>
      <c r="B43" s="3" t="s">
        <v>184</v>
      </c>
      <c r="C43" s="2" t="s">
        <v>185</v>
      </c>
      <c r="D43" s="8" t="s">
        <v>186</v>
      </c>
      <c r="E43" s="2"/>
      <c r="F43" s="2" t="s">
        <v>14</v>
      </c>
      <c r="G43" s="2" t="s">
        <v>187</v>
      </c>
      <c r="H43" s="2" t="s">
        <v>188</v>
      </c>
      <c r="I43" s="2"/>
    </row>
    <row r="44" customFormat="false" ht="23.85" hidden="false" customHeight="false" outlineLevel="0" collapsed="false">
      <c r="A44" s="2" t="s">
        <v>155</v>
      </c>
      <c r="B44" s="3" t="s">
        <v>189</v>
      </c>
      <c r="C44" s="2" t="s">
        <v>190</v>
      </c>
      <c r="D44" s="8" t="s">
        <v>186</v>
      </c>
      <c r="E44" s="2"/>
      <c r="F44" s="2" t="s">
        <v>14</v>
      </c>
      <c r="G44" s="2" t="s">
        <v>191</v>
      </c>
      <c r="H44" s="2" t="s">
        <v>192</v>
      </c>
      <c r="I44" s="2"/>
    </row>
    <row r="45" customFormat="false" ht="23.85" hidden="false" customHeight="false" outlineLevel="0" collapsed="false">
      <c r="A45" s="2" t="s">
        <v>193</v>
      </c>
      <c r="B45" s="3" t="s">
        <v>194</v>
      </c>
      <c r="C45" s="2" t="s">
        <v>195</v>
      </c>
      <c r="D45" s="6" t="s">
        <v>19</v>
      </c>
      <c r="E45" s="2"/>
      <c r="F45" s="2" t="s">
        <v>196</v>
      </c>
      <c r="G45" s="2" t="s">
        <v>197</v>
      </c>
      <c r="H45" s="2" t="s">
        <v>198</v>
      </c>
      <c r="I45" s="2"/>
    </row>
    <row r="46" customFormat="false" ht="15" hidden="false" customHeight="false" outlineLevel="0" collapsed="false">
      <c r="A46" s="2" t="s">
        <v>193</v>
      </c>
      <c r="B46" s="3" t="s">
        <v>199</v>
      </c>
      <c r="C46" s="2" t="s">
        <v>200</v>
      </c>
      <c r="D46" s="6" t="s">
        <v>19</v>
      </c>
      <c r="E46" s="2"/>
      <c r="F46" s="2" t="s">
        <v>196</v>
      </c>
      <c r="G46" s="2" t="s">
        <v>201</v>
      </c>
      <c r="H46" s="2" t="s">
        <v>202</v>
      </c>
      <c r="I46" s="2"/>
    </row>
    <row r="47" customFormat="false" ht="15" hidden="false" customHeight="false" outlineLevel="0" collapsed="false">
      <c r="A47" s="2" t="s">
        <v>193</v>
      </c>
      <c r="B47" s="3" t="s">
        <v>203</v>
      </c>
      <c r="C47" s="2" t="s">
        <v>204</v>
      </c>
      <c r="D47" s="6" t="s">
        <v>19</v>
      </c>
      <c r="E47" s="2"/>
      <c r="F47" s="2" t="s">
        <v>196</v>
      </c>
      <c r="G47" s="2" t="s">
        <v>201</v>
      </c>
      <c r="H47" s="2" t="s">
        <v>205</v>
      </c>
      <c r="I47" s="2"/>
    </row>
    <row r="48" customFormat="false" ht="15" hidden="false" customHeight="false" outlineLevel="0" collapsed="false">
      <c r="A48" s="2" t="s">
        <v>193</v>
      </c>
      <c r="B48" s="3" t="s">
        <v>206</v>
      </c>
      <c r="C48" s="2" t="s">
        <v>169</v>
      </c>
      <c r="D48" s="6" t="s">
        <v>19</v>
      </c>
      <c r="E48" s="2"/>
      <c r="F48" s="2" t="s">
        <v>14</v>
      </c>
      <c r="G48" s="2" t="s">
        <v>207</v>
      </c>
      <c r="H48" s="2" t="s">
        <v>208</v>
      </c>
      <c r="I48" s="2"/>
    </row>
    <row r="49" customFormat="false" ht="23.85" hidden="false" customHeight="false" outlineLevel="0" collapsed="false">
      <c r="A49" s="2" t="s">
        <v>193</v>
      </c>
      <c r="B49" s="3" t="s">
        <v>209</v>
      </c>
      <c r="C49" s="2" t="s">
        <v>173</v>
      </c>
      <c r="D49" s="6" t="s">
        <v>19</v>
      </c>
      <c r="E49" s="2"/>
      <c r="F49" s="2" t="s">
        <v>210</v>
      </c>
      <c r="G49" s="2" t="s">
        <v>211</v>
      </c>
      <c r="H49" s="2" t="s">
        <v>212</v>
      </c>
      <c r="I49" s="2"/>
    </row>
    <row r="50" customFormat="false" ht="23.85" hidden="false" customHeight="false" outlineLevel="0" collapsed="false">
      <c r="A50" s="2" t="s">
        <v>193</v>
      </c>
      <c r="B50" s="3" t="s">
        <v>213</v>
      </c>
      <c r="C50" s="2" t="s">
        <v>214</v>
      </c>
      <c r="D50" s="6" t="s">
        <v>19</v>
      </c>
      <c r="E50" s="2"/>
      <c r="F50" s="2" t="s">
        <v>215</v>
      </c>
      <c r="G50" s="2" t="s">
        <v>216</v>
      </c>
      <c r="H50" s="2" t="s">
        <v>217</v>
      </c>
      <c r="I50" s="2"/>
    </row>
    <row r="51" customFormat="false" ht="23.85" hidden="false" customHeight="false" outlineLevel="0" collapsed="false">
      <c r="A51" s="2" t="s">
        <v>193</v>
      </c>
      <c r="B51" s="3" t="s">
        <v>218</v>
      </c>
      <c r="C51" s="2" t="s">
        <v>219</v>
      </c>
      <c r="D51" s="7" t="s">
        <v>42</v>
      </c>
      <c r="E51" s="2"/>
      <c r="F51" s="2" t="s">
        <v>210</v>
      </c>
      <c r="G51" s="2" t="s">
        <v>220</v>
      </c>
      <c r="H51" s="2" t="s">
        <v>221</v>
      </c>
      <c r="I51" s="2"/>
    </row>
    <row r="52" customFormat="false" ht="15" hidden="false" customHeight="false" outlineLevel="0" collapsed="false">
      <c r="A52" s="2" t="s">
        <v>193</v>
      </c>
      <c r="B52" s="3" t="s">
        <v>222</v>
      </c>
      <c r="C52" s="2" t="s">
        <v>26</v>
      </c>
      <c r="D52" s="6" t="s">
        <v>19</v>
      </c>
      <c r="E52" s="2"/>
      <c r="F52" s="2" t="s">
        <v>14</v>
      </c>
      <c r="G52" s="2" t="s">
        <v>27</v>
      </c>
      <c r="H52" s="2" t="s">
        <v>162</v>
      </c>
      <c r="I52" s="2"/>
    </row>
    <row r="53" customFormat="false" ht="15" hidden="false" customHeight="false" outlineLevel="0" collapsed="false">
      <c r="A53" s="2" t="s">
        <v>193</v>
      </c>
      <c r="B53" s="3" t="s">
        <v>223</v>
      </c>
      <c r="C53" s="2" t="s">
        <v>185</v>
      </c>
      <c r="D53" s="8" t="s">
        <v>186</v>
      </c>
      <c r="E53" s="2"/>
      <c r="F53" s="2" t="s">
        <v>14</v>
      </c>
      <c r="G53" s="2" t="s">
        <v>187</v>
      </c>
      <c r="H53" s="2" t="s">
        <v>224</v>
      </c>
      <c r="I53" s="2"/>
    </row>
    <row r="54" customFormat="false" ht="15" hidden="false" customHeight="false" outlineLevel="0" collapsed="false">
      <c r="A54" s="2" t="s">
        <v>193</v>
      </c>
      <c r="B54" s="3" t="s">
        <v>225</v>
      </c>
      <c r="C54" s="2" t="s">
        <v>226</v>
      </c>
      <c r="D54" s="7" t="s">
        <v>42</v>
      </c>
      <c r="E54" s="2"/>
      <c r="F54" s="2" t="s">
        <v>196</v>
      </c>
      <c r="G54" s="2" t="s">
        <v>227</v>
      </c>
      <c r="H54" s="2" t="s">
        <v>228</v>
      </c>
      <c r="I54" s="2"/>
    </row>
    <row r="55" customFormat="false" ht="15" hidden="false" customHeight="false" outlineLevel="0" collapsed="false">
      <c r="A55" s="2" t="s">
        <v>229</v>
      </c>
      <c r="B55" s="3" t="s">
        <v>230</v>
      </c>
      <c r="C55" s="2" t="s">
        <v>231</v>
      </c>
      <c r="D55" s="4" t="s">
        <v>12</v>
      </c>
      <c r="E55" s="2"/>
      <c r="F55" s="2" t="s">
        <v>14</v>
      </c>
      <c r="G55" s="2" t="s">
        <v>232</v>
      </c>
      <c r="H55" s="2" t="s">
        <v>233</v>
      </c>
      <c r="I55" s="2"/>
    </row>
    <row r="56" customFormat="false" ht="15" hidden="false" customHeight="false" outlineLevel="0" collapsed="false">
      <c r="A56" s="2" t="s">
        <v>229</v>
      </c>
      <c r="B56" s="3" t="s">
        <v>234</v>
      </c>
      <c r="C56" s="2" t="s">
        <v>235</v>
      </c>
      <c r="D56" s="6" t="s">
        <v>19</v>
      </c>
      <c r="E56" s="2"/>
      <c r="F56" s="2" t="s">
        <v>14</v>
      </c>
      <c r="G56" s="2" t="s">
        <v>232</v>
      </c>
      <c r="H56" s="2" t="s">
        <v>236</v>
      </c>
      <c r="I56" s="2"/>
    </row>
    <row r="57" customFormat="false" ht="15" hidden="false" customHeight="false" outlineLevel="0" collapsed="false">
      <c r="A57" s="2" t="s">
        <v>229</v>
      </c>
      <c r="B57" s="3" t="s">
        <v>237</v>
      </c>
      <c r="C57" s="2" t="s">
        <v>238</v>
      </c>
      <c r="D57" s="6" t="s">
        <v>19</v>
      </c>
      <c r="E57" s="2"/>
      <c r="F57" s="2" t="s">
        <v>14</v>
      </c>
      <c r="G57" s="2" t="s">
        <v>239</v>
      </c>
      <c r="H57" s="2" t="s">
        <v>240</v>
      </c>
      <c r="I57" s="2"/>
    </row>
    <row r="58" customFormat="false" ht="15" hidden="false" customHeight="false" outlineLevel="0" collapsed="false">
      <c r="A58" s="2" t="s">
        <v>229</v>
      </c>
      <c r="B58" s="3" t="s">
        <v>241</v>
      </c>
      <c r="C58" s="2" t="s">
        <v>242</v>
      </c>
      <c r="D58" s="4" t="s">
        <v>12</v>
      </c>
      <c r="E58" s="2"/>
      <c r="F58" s="2" t="s">
        <v>243</v>
      </c>
      <c r="G58" s="2" t="s">
        <v>244</v>
      </c>
      <c r="H58" s="2" t="s">
        <v>245</v>
      </c>
      <c r="I58" s="2"/>
    </row>
    <row r="59" customFormat="false" ht="15" hidden="false" customHeight="false" outlineLevel="0" collapsed="false">
      <c r="A59" s="2" t="s">
        <v>229</v>
      </c>
      <c r="B59" s="3" t="s">
        <v>246</v>
      </c>
      <c r="C59" s="2" t="s">
        <v>247</v>
      </c>
      <c r="D59" s="6" t="s">
        <v>19</v>
      </c>
      <c r="E59" s="2"/>
      <c r="F59" s="2" t="s">
        <v>14</v>
      </c>
      <c r="G59" s="2" t="s">
        <v>248</v>
      </c>
      <c r="H59" s="2" t="s">
        <v>249</v>
      </c>
      <c r="I59" s="2"/>
    </row>
    <row r="60" customFormat="false" ht="23.85" hidden="false" customHeight="false" outlineLevel="0" collapsed="false">
      <c r="A60" s="2" t="s">
        <v>229</v>
      </c>
      <c r="B60" s="3" t="s">
        <v>250</v>
      </c>
      <c r="C60" s="2" t="s">
        <v>251</v>
      </c>
      <c r="D60" s="7" t="s">
        <v>42</v>
      </c>
      <c r="E60" s="2"/>
      <c r="F60" s="2" t="s">
        <v>252</v>
      </c>
      <c r="G60" s="2" t="s">
        <v>253</v>
      </c>
      <c r="H60" s="2" t="s">
        <v>254</v>
      </c>
      <c r="I60" s="2"/>
    </row>
    <row r="61" customFormat="false" ht="23.85" hidden="false" customHeight="false" outlineLevel="0" collapsed="false">
      <c r="A61" s="2" t="s">
        <v>229</v>
      </c>
      <c r="B61" s="3" t="s">
        <v>255</v>
      </c>
      <c r="C61" s="2" t="s">
        <v>256</v>
      </c>
      <c r="D61" s="6" t="s">
        <v>19</v>
      </c>
      <c r="E61" s="2"/>
      <c r="F61" s="2" t="s">
        <v>257</v>
      </c>
      <c r="G61" s="2" t="s">
        <v>258</v>
      </c>
      <c r="H61" s="2" t="s">
        <v>259</v>
      </c>
      <c r="I61" s="2"/>
    </row>
    <row r="62" customFormat="false" ht="15" hidden="false" customHeight="false" outlineLevel="0" collapsed="false">
      <c r="A62" s="2" t="s">
        <v>229</v>
      </c>
      <c r="B62" s="3" t="s">
        <v>260</v>
      </c>
      <c r="C62" s="2" t="s">
        <v>261</v>
      </c>
      <c r="D62" s="7" t="s">
        <v>42</v>
      </c>
      <c r="E62" s="2"/>
      <c r="F62" s="2" t="s">
        <v>257</v>
      </c>
      <c r="G62" s="2" t="s">
        <v>262</v>
      </c>
      <c r="H62" s="2" t="s">
        <v>263</v>
      </c>
      <c r="I62" s="2"/>
    </row>
    <row r="63" customFormat="false" ht="15" hidden="false" customHeight="false" outlineLevel="0" collapsed="false">
      <c r="A63" s="2" t="s">
        <v>229</v>
      </c>
      <c r="B63" s="3" t="s">
        <v>264</v>
      </c>
      <c r="C63" s="2" t="s">
        <v>265</v>
      </c>
      <c r="D63" s="7" t="s">
        <v>42</v>
      </c>
      <c r="E63" s="2"/>
      <c r="F63" s="2" t="s">
        <v>266</v>
      </c>
      <c r="G63" s="2" t="s">
        <v>267</v>
      </c>
      <c r="H63" s="2" t="s">
        <v>268</v>
      </c>
      <c r="I63" s="2"/>
    </row>
    <row r="64" customFormat="false" ht="15" hidden="false" customHeight="false" outlineLevel="0" collapsed="false">
      <c r="A64" s="2" t="s">
        <v>229</v>
      </c>
      <c r="B64" s="3" t="s">
        <v>269</v>
      </c>
      <c r="C64" s="2" t="s">
        <v>26</v>
      </c>
      <c r="D64" s="6" t="s">
        <v>19</v>
      </c>
      <c r="E64" s="2"/>
      <c r="F64" s="2" t="s">
        <v>14</v>
      </c>
      <c r="G64" s="2" t="s">
        <v>27</v>
      </c>
      <c r="H64" s="2" t="s">
        <v>270</v>
      </c>
      <c r="I64" s="2"/>
    </row>
    <row r="65" customFormat="false" ht="15" hidden="false" customHeight="false" outlineLevel="0" collapsed="false">
      <c r="A65" s="2" t="s">
        <v>229</v>
      </c>
      <c r="B65" s="3" t="s">
        <v>271</v>
      </c>
      <c r="C65" s="2" t="s">
        <v>33</v>
      </c>
      <c r="D65" s="6" t="s">
        <v>19</v>
      </c>
      <c r="E65" s="2"/>
      <c r="F65" s="2" t="s">
        <v>14</v>
      </c>
      <c r="G65" s="2" t="s">
        <v>272</v>
      </c>
      <c r="H65" s="2" t="s">
        <v>273</v>
      </c>
      <c r="I65" s="2"/>
    </row>
    <row r="66" customFormat="false" ht="23.85" hidden="false" customHeight="false" outlineLevel="0" collapsed="false">
      <c r="A66" s="2" t="s">
        <v>229</v>
      </c>
      <c r="B66" s="3" t="s">
        <v>274</v>
      </c>
      <c r="C66" s="2" t="s">
        <v>275</v>
      </c>
      <c r="D66" s="7" t="s">
        <v>42</v>
      </c>
      <c r="E66" s="2"/>
      <c r="F66" s="2" t="s">
        <v>276</v>
      </c>
      <c r="G66" s="2" t="s">
        <v>277</v>
      </c>
      <c r="H66" s="2" t="s">
        <v>278</v>
      </c>
      <c r="I66" s="2"/>
    </row>
    <row r="67" customFormat="false" ht="23.85" hidden="false" customHeight="false" outlineLevel="0" collapsed="false">
      <c r="A67" s="2" t="s">
        <v>229</v>
      </c>
      <c r="B67" s="3" t="s">
        <v>279</v>
      </c>
      <c r="C67" s="2" t="s">
        <v>280</v>
      </c>
      <c r="D67" s="4" t="s">
        <v>12</v>
      </c>
      <c r="E67" s="5" t="s">
        <v>13</v>
      </c>
      <c r="F67" s="2" t="s">
        <v>281</v>
      </c>
      <c r="G67" s="2" t="s">
        <v>282</v>
      </c>
      <c r="H67" s="2" t="s">
        <v>283</v>
      </c>
      <c r="I67" s="2"/>
    </row>
    <row r="68" customFormat="false" ht="23.85" hidden="false" customHeight="false" outlineLevel="0" collapsed="false">
      <c r="A68" s="2" t="s">
        <v>229</v>
      </c>
      <c r="B68" s="3" t="s">
        <v>284</v>
      </c>
      <c r="C68" s="2" t="s">
        <v>285</v>
      </c>
      <c r="D68" s="6" t="s">
        <v>19</v>
      </c>
      <c r="E68" s="2"/>
      <c r="F68" s="2" t="s">
        <v>281</v>
      </c>
      <c r="G68" s="2" t="s">
        <v>286</v>
      </c>
      <c r="H68" s="2" t="s">
        <v>287</v>
      </c>
      <c r="I68" s="2"/>
    </row>
    <row r="69" customFormat="false" ht="23.85" hidden="false" customHeight="false" outlineLevel="0" collapsed="false">
      <c r="A69" s="2" t="s">
        <v>229</v>
      </c>
      <c r="B69" s="3" t="s">
        <v>288</v>
      </c>
      <c r="C69" s="2" t="s">
        <v>289</v>
      </c>
      <c r="D69" s="8" t="s">
        <v>186</v>
      </c>
      <c r="E69" s="2"/>
      <c r="F69" s="2" t="s">
        <v>290</v>
      </c>
      <c r="G69" s="2" t="s">
        <v>291</v>
      </c>
      <c r="H69" s="2" t="s">
        <v>292</v>
      </c>
      <c r="I69" s="2"/>
    </row>
    <row r="70" customFormat="false" ht="23.85" hidden="false" customHeight="false" outlineLevel="0" collapsed="false">
      <c r="A70" s="2" t="s">
        <v>229</v>
      </c>
      <c r="B70" s="3" t="s">
        <v>293</v>
      </c>
      <c r="C70" s="2" t="s">
        <v>294</v>
      </c>
      <c r="D70" s="7" t="s">
        <v>42</v>
      </c>
      <c r="E70" s="2"/>
      <c r="F70" s="2" t="s">
        <v>295</v>
      </c>
      <c r="G70" s="2" t="s">
        <v>296</v>
      </c>
      <c r="H70" s="2" t="s">
        <v>297</v>
      </c>
      <c r="I70" s="2"/>
    </row>
    <row r="71" customFormat="false" ht="15" hidden="false" customHeight="false" outlineLevel="0" collapsed="false">
      <c r="A71" s="2" t="s">
        <v>298</v>
      </c>
      <c r="B71" s="3" t="s">
        <v>299</v>
      </c>
      <c r="C71" s="2" t="s">
        <v>231</v>
      </c>
      <c r="D71" s="4" t="s">
        <v>12</v>
      </c>
      <c r="E71" s="2"/>
      <c r="F71" s="2" t="s">
        <v>14</v>
      </c>
      <c r="G71" s="2" t="s">
        <v>300</v>
      </c>
      <c r="H71" s="2" t="s">
        <v>301</v>
      </c>
      <c r="I71" s="2"/>
    </row>
    <row r="72" customFormat="false" ht="15" hidden="false" customHeight="false" outlineLevel="0" collapsed="false">
      <c r="A72" s="2" t="s">
        <v>298</v>
      </c>
      <c r="B72" s="3" t="s">
        <v>302</v>
      </c>
      <c r="C72" s="2" t="s">
        <v>303</v>
      </c>
      <c r="D72" s="4" t="s">
        <v>12</v>
      </c>
      <c r="E72" s="2"/>
      <c r="F72" s="2" t="s">
        <v>243</v>
      </c>
      <c r="G72" s="2" t="s">
        <v>304</v>
      </c>
      <c r="H72" s="2" t="s">
        <v>305</v>
      </c>
      <c r="I72" s="2"/>
    </row>
    <row r="73" customFormat="false" ht="15" hidden="false" customHeight="false" outlineLevel="0" collapsed="false">
      <c r="A73" s="2" t="s">
        <v>298</v>
      </c>
      <c r="B73" s="3" t="s">
        <v>306</v>
      </c>
      <c r="C73" s="2" t="s">
        <v>235</v>
      </c>
      <c r="D73" s="6" t="s">
        <v>19</v>
      </c>
      <c r="E73" s="2"/>
      <c r="F73" s="2" t="s">
        <v>14</v>
      </c>
      <c r="G73" s="2" t="s">
        <v>307</v>
      </c>
      <c r="H73" s="2" t="s">
        <v>308</v>
      </c>
      <c r="I73" s="2"/>
    </row>
    <row r="74" customFormat="false" ht="15" hidden="false" customHeight="false" outlineLevel="0" collapsed="false">
      <c r="A74" s="2" t="s">
        <v>298</v>
      </c>
      <c r="B74" s="3" t="s">
        <v>309</v>
      </c>
      <c r="C74" s="2" t="s">
        <v>238</v>
      </c>
      <c r="D74" s="6" t="s">
        <v>19</v>
      </c>
      <c r="E74" s="2"/>
      <c r="F74" s="2" t="s">
        <v>14</v>
      </c>
      <c r="G74" s="2" t="s">
        <v>310</v>
      </c>
      <c r="H74" s="2" t="s">
        <v>311</v>
      </c>
      <c r="I74" s="2"/>
    </row>
    <row r="75" customFormat="false" ht="15" hidden="false" customHeight="false" outlineLevel="0" collapsed="false">
      <c r="A75" s="2" t="s">
        <v>298</v>
      </c>
      <c r="B75" s="3" t="s">
        <v>312</v>
      </c>
      <c r="C75" s="2" t="s">
        <v>313</v>
      </c>
      <c r="D75" s="6" t="s">
        <v>19</v>
      </c>
      <c r="E75" s="2"/>
      <c r="F75" s="2" t="s">
        <v>14</v>
      </c>
      <c r="G75" s="2" t="s">
        <v>314</v>
      </c>
      <c r="H75" s="2" t="s">
        <v>315</v>
      </c>
      <c r="I75" s="2"/>
    </row>
    <row r="76" customFormat="false" ht="23.85" hidden="false" customHeight="false" outlineLevel="0" collapsed="false">
      <c r="A76" s="2" t="s">
        <v>298</v>
      </c>
      <c r="B76" s="3" t="s">
        <v>316</v>
      </c>
      <c r="C76" s="2" t="s">
        <v>317</v>
      </c>
      <c r="D76" s="6" t="s">
        <v>19</v>
      </c>
      <c r="E76" s="2"/>
      <c r="F76" s="2" t="s">
        <v>318</v>
      </c>
      <c r="G76" s="2" t="s">
        <v>319</v>
      </c>
      <c r="H76" s="2" t="s">
        <v>320</v>
      </c>
      <c r="I76" s="2"/>
    </row>
    <row r="77" customFormat="false" ht="15" hidden="false" customHeight="false" outlineLevel="0" collapsed="false">
      <c r="A77" s="2" t="s">
        <v>298</v>
      </c>
      <c r="B77" s="3" t="s">
        <v>321</v>
      </c>
      <c r="C77" s="2" t="s">
        <v>322</v>
      </c>
      <c r="D77" s="7" t="s">
        <v>42</v>
      </c>
      <c r="E77" s="2"/>
      <c r="F77" s="2" t="s">
        <v>323</v>
      </c>
      <c r="G77" s="2" t="s">
        <v>324</v>
      </c>
      <c r="H77" s="2" t="s">
        <v>325</v>
      </c>
      <c r="I77" s="2"/>
    </row>
    <row r="78" customFormat="false" ht="15" hidden="false" customHeight="false" outlineLevel="0" collapsed="false">
      <c r="A78" s="2" t="s">
        <v>298</v>
      </c>
      <c r="B78" s="3" t="s">
        <v>326</v>
      </c>
      <c r="C78" s="2" t="s">
        <v>26</v>
      </c>
      <c r="D78" s="6" t="s">
        <v>19</v>
      </c>
      <c r="E78" s="2"/>
      <c r="F78" s="2" t="s">
        <v>14</v>
      </c>
      <c r="G78" s="2" t="s">
        <v>27</v>
      </c>
      <c r="H78" s="2" t="s">
        <v>162</v>
      </c>
      <c r="I78" s="2"/>
    </row>
    <row r="79" customFormat="false" ht="15" hidden="false" customHeight="false" outlineLevel="0" collapsed="false">
      <c r="A79" s="2" t="s">
        <v>298</v>
      </c>
      <c r="B79" s="3" t="s">
        <v>327</v>
      </c>
      <c r="C79" s="2" t="s">
        <v>33</v>
      </c>
      <c r="D79" s="6" t="s">
        <v>19</v>
      </c>
      <c r="E79" s="2"/>
      <c r="F79" s="2" t="s">
        <v>14</v>
      </c>
      <c r="G79" s="2" t="s">
        <v>328</v>
      </c>
      <c r="H79" s="2" t="s">
        <v>329</v>
      </c>
      <c r="I79" s="2"/>
    </row>
    <row r="80" customFormat="false" ht="15" hidden="false" customHeight="false" outlineLevel="0" collapsed="false">
      <c r="A80" s="2" t="s">
        <v>298</v>
      </c>
      <c r="B80" s="3" t="s">
        <v>330</v>
      </c>
      <c r="C80" s="2" t="s">
        <v>331</v>
      </c>
      <c r="D80" s="7" t="s">
        <v>42</v>
      </c>
      <c r="E80" s="2"/>
      <c r="F80" s="2" t="s">
        <v>332</v>
      </c>
      <c r="G80" s="2" t="s">
        <v>333</v>
      </c>
      <c r="H80" s="2" t="s">
        <v>334</v>
      </c>
      <c r="I80" s="2"/>
    </row>
    <row r="81" customFormat="false" ht="23.85" hidden="false" customHeight="false" outlineLevel="0" collapsed="false">
      <c r="A81" s="2" t="s">
        <v>298</v>
      </c>
      <c r="B81" s="3" t="s">
        <v>335</v>
      </c>
      <c r="C81" s="2" t="s">
        <v>336</v>
      </c>
      <c r="D81" s="6" t="s">
        <v>19</v>
      </c>
      <c r="E81" s="2"/>
      <c r="F81" s="2" t="s">
        <v>332</v>
      </c>
      <c r="G81" s="2" t="s">
        <v>337</v>
      </c>
      <c r="H81" s="2" t="s">
        <v>338</v>
      </c>
      <c r="I81" s="2"/>
    </row>
    <row r="82" customFormat="false" ht="23.85" hidden="false" customHeight="false" outlineLevel="0" collapsed="false">
      <c r="A82" s="2" t="s">
        <v>767</v>
      </c>
      <c r="B82" s="3" t="s">
        <v>340</v>
      </c>
      <c r="C82" s="2" t="s">
        <v>341</v>
      </c>
      <c r="D82" s="4" t="s">
        <v>12</v>
      </c>
      <c r="E82" s="2"/>
      <c r="F82" s="2" t="s">
        <v>14</v>
      </c>
      <c r="G82" s="2" t="s">
        <v>342</v>
      </c>
      <c r="H82" s="2" t="s">
        <v>343</v>
      </c>
      <c r="I82" s="2"/>
    </row>
    <row r="83" customFormat="false" ht="15" hidden="false" customHeight="false" outlineLevel="0" collapsed="false">
      <c r="A83" s="2" t="s">
        <v>767</v>
      </c>
      <c r="B83" s="3" t="s">
        <v>344</v>
      </c>
      <c r="C83" s="2" t="s">
        <v>235</v>
      </c>
      <c r="D83" s="6" t="s">
        <v>19</v>
      </c>
      <c r="E83" s="2"/>
      <c r="F83" s="2" t="s">
        <v>14</v>
      </c>
      <c r="G83" s="2" t="s">
        <v>342</v>
      </c>
      <c r="H83" s="2" t="s">
        <v>20</v>
      </c>
      <c r="I83" s="2"/>
    </row>
    <row r="84" customFormat="false" ht="15" hidden="false" customHeight="false" outlineLevel="0" collapsed="false">
      <c r="A84" s="2" t="s">
        <v>767</v>
      </c>
      <c r="B84" s="3" t="s">
        <v>345</v>
      </c>
      <c r="C84" s="2" t="s">
        <v>238</v>
      </c>
      <c r="D84" s="6" t="s">
        <v>19</v>
      </c>
      <c r="E84" s="2"/>
      <c r="F84" s="2" t="s">
        <v>14</v>
      </c>
      <c r="G84" s="2" t="s">
        <v>346</v>
      </c>
      <c r="H84" s="2" t="s">
        <v>311</v>
      </c>
      <c r="I84" s="2"/>
    </row>
    <row r="85" customFormat="false" ht="23.85" hidden="false" customHeight="false" outlineLevel="0" collapsed="false">
      <c r="A85" s="2" t="s">
        <v>767</v>
      </c>
      <c r="B85" s="3" t="s">
        <v>347</v>
      </c>
      <c r="C85" s="2" t="s">
        <v>348</v>
      </c>
      <c r="D85" s="6" t="s">
        <v>19</v>
      </c>
      <c r="E85" s="2"/>
      <c r="F85" s="2" t="s">
        <v>349</v>
      </c>
      <c r="G85" s="2" t="s">
        <v>350</v>
      </c>
      <c r="H85" s="2" t="s">
        <v>351</v>
      </c>
      <c r="I85" s="2"/>
    </row>
    <row r="86" customFormat="false" ht="15" hidden="false" customHeight="false" outlineLevel="0" collapsed="false">
      <c r="A86" s="2" t="s">
        <v>767</v>
      </c>
      <c r="B86" s="3" t="s">
        <v>352</v>
      </c>
      <c r="C86" s="2" t="s">
        <v>353</v>
      </c>
      <c r="D86" s="7" t="s">
        <v>42</v>
      </c>
      <c r="E86" s="2"/>
      <c r="F86" s="2" t="s">
        <v>354</v>
      </c>
      <c r="G86" s="2" t="s">
        <v>355</v>
      </c>
      <c r="H86" s="2" t="s">
        <v>356</v>
      </c>
      <c r="I86" s="2"/>
    </row>
    <row r="87" customFormat="false" ht="23.85" hidden="false" customHeight="false" outlineLevel="0" collapsed="false">
      <c r="A87" s="2" t="s">
        <v>767</v>
      </c>
      <c r="B87" s="3" t="s">
        <v>357</v>
      </c>
      <c r="C87" s="2" t="s">
        <v>358</v>
      </c>
      <c r="D87" s="6" t="s">
        <v>19</v>
      </c>
      <c r="E87" s="2"/>
      <c r="F87" s="2" t="s">
        <v>359</v>
      </c>
      <c r="G87" s="2" t="s">
        <v>360</v>
      </c>
      <c r="H87" s="2" t="s">
        <v>361</v>
      </c>
      <c r="I87" s="2"/>
    </row>
    <row r="88" customFormat="false" ht="23.85" hidden="false" customHeight="false" outlineLevel="0" collapsed="false">
      <c r="A88" s="2" t="s">
        <v>767</v>
      </c>
      <c r="B88" s="3" t="s">
        <v>362</v>
      </c>
      <c r="C88" s="2" t="s">
        <v>363</v>
      </c>
      <c r="D88" s="7" t="s">
        <v>42</v>
      </c>
      <c r="E88" s="2"/>
      <c r="F88" s="2" t="s">
        <v>364</v>
      </c>
      <c r="G88" s="2" t="s">
        <v>365</v>
      </c>
      <c r="H88" s="2" t="s">
        <v>366</v>
      </c>
      <c r="I88" s="2"/>
    </row>
    <row r="89" customFormat="false" ht="35.05" hidden="false" customHeight="false" outlineLevel="0" collapsed="false">
      <c r="A89" s="2" t="s">
        <v>767</v>
      </c>
      <c r="B89" s="3" t="s">
        <v>367</v>
      </c>
      <c r="C89" s="2" t="s">
        <v>368</v>
      </c>
      <c r="D89" s="4" t="s">
        <v>12</v>
      </c>
      <c r="E89" s="5" t="s">
        <v>13</v>
      </c>
      <c r="F89" s="2" t="s">
        <v>364</v>
      </c>
      <c r="G89" s="2" t="s">
        <v>369</v>
      </c>
      <c r="H89" s="2" t="s">
        <v>370</v>
      </c>
      <c r="I89" s="2"/>
    </row>
    <row r="90" customFormat="false" ht="23.85" hidden="false" customHeight="false" outlineLevel="0" collapsed="false">
      <c r="A90" s="2" t="s">
        <v>767</v>
      </c>
      <c r="B90" s="3" t="s">
        <v>371</v>
      </c>
      <c r="C90" s="2" t="s">
        <v>372</v>
      </c>
      <c r="D90" s="6" t="s">
        <v>19</v>
      </c>
      <c r="E90" s="2"/>
      <c r="F90" s="2" t="s">
        <v>364</v>
      </c>
      <c r="G90" s="2" t="s">
        <v>373</v>
      </c>
      <c r="H90" s="2" t="s">
        <v>374</v>
      </c>
      <c r="I90" s="2"/>
    </row>
    <row r="91" customFormat="false" ht="15" hidden="false" customHeight="false" outlineLevel="0" collapsed="false">
      <c r="A91" s="2" t="s">
        <v>375</v>
      </c>
      <c r="B91" s="3" t="s">
        <v>376</v>
      </c>
      <c r="C91" s="2" t="s">
        <v>157</v>
      </c>
      <c r="D91" s="4" t="s">
        <v>12</v>
      </c>
      <c r="E91" s="2"/>
      <c r="F91" s="2" t="s">
        <v>14</v>
      </c>
      <c r="G91" s="2" t="s">
        <v>15</v>
      </c>
      <c r="H91" s="2" t="s">
        <v>377</v>
      </c>
      <c r="I91" s="2"/>
    </row>
    <row r="92" customFormat="false" ht="15" hidden="false" customHeight="false" outlineLevel="0" collapsed="false">
      <c r="A92" s="2" t="s">
        <v>375</v>
      </c>
      <c r="B92" s="3" t="s">
        <v>378</v>
      </c>
      <c r="C92" s="2" t="s">
        <v>18</v>
      </c>
      <c r="D92" s="6" t="s">
        <v>19</v>
      </c>
      <c r="E92" s="2"/>
      <c r="F92" s="2" t="s">
        <v>14</v>
      </c>
      <c r="G92" s="2" t="s">
        <v>15</v>
      </c>
      <c r="H92" s="2" t="s">
        <v>20</v>
      </c>
      <c r="I92" s="2"/>
    </row>
    <row r="93" customFormat="false" ht="15" hidden="false" customHeight="false" outlineLevel="0" collapsed="false">
      <c r="A93" s="2" t="s">
        <v>375</v>
      </c>
      <c r="B93" s="3" t="s">
        <v>379</v>
      </c>
      <c r="C93" s="2" t="s">
        <v>380</v>
      </c>
      <c r="D93" s="6" t="s">
        <v>19</v>
      </c>
      <c r="E93" s="2"/>
      <c r="F93" s="2" t="s">
        <v>14</v>
      </c>
      <c r="G93" s="2" t="s">
        <v>381</v>
      </c>
      <c r="H93" s="2" t="s">
        <v>382</v>
      </c>
      <c r="I93" s="2"/>
    </row>
    <row r="94" customFormat="false" ht="23.85" hidden="false" customHeight="false" outlineLevel="0" collapsed="false">
      <c r="A94" s="2" t="s">
        <v>375</v>
      </c>
      <c r="B94" s="3" t="s">
        <v>383</v>
      </c>
      <c r="C94" s="2" t="s">
        <v>384</v>
      </c>
      <c r="D94" s="7" t="s">
        <v>42</v>
      </c>
      <c r="E94" s="2"/>
      <c r="F94" s="2" t="s">
        <v>385</v>
      </c>
      <c r="G94" s="2" t="s">
        <v>386</v>
      </c>
      <c r="H94" s="2" t="s">
        <v>387</v>
      </c>
      <c r="I94" s="2"/>
    </row>
    <row r="95" customFormat="false" ht="15" hidden="false" customHeight="false" outlineLevel="0" collapsed="false">
      <c r="A95" s="2" t="s">
        <v>375</v>
      </c>
      <c r="B95" s="3" t="s">
        <v>388</v>
      </c>
      <c r="C95" s="2" t="s">
        <v>26</v>
      </c>
      <c r="D95" s="6" t="s">
        <v>19</v>
      </c>
      <c r="E95" s="2"/>
      <c r="F95" s="2" t="s">
        <v>14</v>
      </c>
      <c r="G95" s="2" t="s">
        <v>27</v>
      </c>
      <c r="H95" s="2" t="s">
        <v>162</v>
      </c>
      <c r="I95" s="2"/>
    </row>
    <row r="96" customFormat="false" ht="23.85" hidden="false" customHeight="false" outlineLevel="0" collapsed="false">
      <c r="A96" s="2" t="s">
        <v>375</v>
      </c>
      <c r="B96" s="3" t="s">
        <v>389</v>
      </c>
      <c r="C96" s="2" t="s">
        <v>390</v>
      </c>
      <c r="D96" s="7" t="s">
        <v>42</v>
      </c>
      <c r="E96" s="2"/>
      <c r="F96" s="2" t="s">
        <v>14</v>
      </c>
      <c r="G96" s="2" t="s">
        <v>391</v>
      </c>
      <c r="H96" s="2" t="s">
        <v>273</v>
      </c>
      <c r="I96" s="2"/>
    </row>
    <row r="97" customFormat="false" ht="23.85" hidden="false" customHeight="false" outlineLevel="0" collapsed="false">
      <c r="A97" s="2" t="s">
        <v>375</v>
      </c>
      <c r="B97" s="3" t="s">
        <v>392</v>
      </c>
      <c r="C97" s="2" t="s">
        <v>393</v>
      </c>
      <c r="D97" s="6" t="s">
        <v>19</v>
      </c>
      <c r="E97" s="2"/>
      <c r="F97" s="2" t="s">
        <v>394</v>
      </c>
      <c r="G97" s="2" t="s">
        <v>395</v>
      </c>
      <c r="H97" s="2" t="s">
        <v>396</v>
      </c>
      <c r="I97" s="2"/>
    </row>
    <row r="98" customFormat="false" ht="23.85" hidden="false" customHeight="false" outlineLevel="0" collapsed="false">
      <c r="A98" s="2" t="s">
        <v>375</v>
      </c>
      <c r="B98" s="3" t="s">
        <v>397</v>
      </c>
      <c r="C98" s="2" t="s">
        <v>398</v>
      </c>
      <c r="D98" s="6" t="s">
        <v>19</v>
      </c>
      <c r="E98" s="2"/>
      <c r="F98" s="2" t="s">
        <v>399</v>
      </c>
      <c r="G98" s="2" t="s">
        <v>400</v>
      </c>
      <c r="H98" s="2" t="s">
        <v>401</v>
      </c>
      <c r="I98" s="2"/>
    </row>
    <row r="99" customFormat="false" ht="15" hidden="false" customHeight="false" outlineLevel="0" collapsed="false">
      <c r="A99" s="2" t="s">
        <v>402</v>
      </c>
      <c r="B99" s="3" t="s">
        <v>403</v>
      </c>
      <c r="C99" s="2" t="s">
        <v>404</v>
      </c>
      <c r="D99" s="6" t="s">
        <v>19</v>
      </c>
      <c r="E99" s="2"/>
      <c r="F99" s="2" t="s">
        <v>14</v>
      </c>
      <c r="G99" s="2" t="s">
        <v>405</v>
      </c>
      <c r="H99" s="2" t="s">
        <v>406</v>
      </c>
      <c r="I99" s="2"/>
    </row>
    <row r="100" customFormat="false" ht="15" hidden="false" customHeight="false" outlineLevel="0" collapsed="false">
      <c r="A100" s="2" t="s">
        <v>402</v>
      </c>
      <c r="B100" s="3" t="s">
        <v>407</v>
      </c>
      <c r="C100" s="2" t="s">
        <v>408</v>
      </c>
      <c r="D100" s="6" t="s">
        <v>19</v>
      </c>
      <c r="E100" s="2"/>
      <c r="F100" s="2" t="s">
        <v>14</v>
      </c>
      <c r="G100" s="2" t="s">
        <v>405</v>
      </c>
      <c r="H100" s="2" t="s">
        <v>409</v>
      </c>
      <c r="I100" s="2"/>
    </row>
    <row r="101" customFormat="false" ht="23.85" hidden="false" customHeight="false" outlineLevel="0" collapsed="false">
      <c r="A101" s="2" t="s">
        <v>402</v>
      </c>
      <c r="B101" s="3" t="s">
        <v>410</v>
      </c>
      <c r="C101" s="2" t="s">
        <v>411</v>
      </c>
      <c r="D101" s="7" t="s">
        <v>42</v>
      </c>
      <c r="E101" s="2"/>
      <c r="F101" s="2" t="s">
        <v>412</v>
      </c>
      <c r="G101" s="2" t="s">
        <v>413</v>
      </c>
      <c r="H101" s="2" t="s">
        <v>414</v>
      </c>
      <c r="I101" s="2"/>
    </row>
    <row r="102" customFormat="false" ht="15" hidden="false" customHeight="false" outlineLevel="0" collapsed="false">
      <c r="A102" s="2" t="s">
        <v>402</v>
      </c>
      <c r="B102" s="3" t="s">
        <v>415</v>
      </c>
      <c r="C102" s="2" t="s">
        <v>416</v>
      </c>
      <c r="D102" s="7" t="s">
        <v>42</v>
      </c>
      <c r="E102" s="2"/>
      <c r="F102" s="2" t="s">
        <v>412</v>
      </c>
      <c r="G102" s="2" t="s">
        <v>417</v>
      </c>
      <c r="H102" s="2" t="s">
        <v>418</v>
      </c>
      <c r="I102" s="2"/>
    </row>
    <row r="103" customFormat="false" ht="15" hidden="false" customHeight="false" outlineLevel="0" collapsed="false">
      <c r="A103" s="2" t="s">
        <v>402</v>
      </c>
      <c r="B103" s="3" t="s">
        <v>419</v>
      </c>
      <c r="C103" s="2" t="s">
        <v>420</v>
      </c>
      <c r="D103" s="7" t="s">
        <v>42</v>
      </c>
      <c r="E103" s="2"/>
      <c r="F103" s="2" t="s">
        <v>421</v>
      </c>
      <c r="G103" s="2" t="s">
        <v>422</v>
      </c>
      <c r="H103" s="2" t="s">
        <v>423</v>
      </c>
      <c r="I103" s="2"/>
    </row>
    <row r="104" customFormat="false" ht="23.85" hidden="false" customHeight="false" outlineLevel="0" collapsed="false">
      <c r="A104" s="2" t="s">
        <v>402</v>
      </c>
      <c r="B104" s="3" t="s">
        <v>424</v>
      </c>
      <c r="C104" s="2" t="s">
        <v>425</v>
      </c>
      <c r="D104" s="7" t="s">
        <v>42</v>
      </c>
      <c r="E104" s="2"/>
      <c r="F104" s="2" t="s">
        <v>426</v>
      </c>
      <c r="G104" s="2" t="s">
        <v>427</v>
      </c>
      <c r="H104" s="2" t="s">
        <v>428</v>
      </c>
      <c r="I104" s="2"/>
    </row>
    <row r="105" customFormat="false" ht="15" hidden="false" customHeight="false" outlineLevel="0" collapsed="false">
      <c r="A105" s="2" t="s">
        <v>402</v>
      </c>
      <c r="B105" s="3" t="s">
        <v>429</v>
      </c>
      <c r="C105" s="2" t="s">
        <v>430</v>
      </c>
      <c r="D105" s="7" t="s">
        <v>42</v>
      </c>
      <c r="E105" s="2"/>
      <c r="F105" s="2" t="s">
        <v>431</v>
      </c>
      <c r="G105" s="2" t="s">
        <v>432</v>
      </c>
      <c r="H105" s="2" t="s">
        <v>433</v>
      </c>
      <c r="I105" s="2"/>
    </row>
    <row r="106" customFormat="false" ht="15" hidden="false" customHeight="false" outlineLevel="0" collapsed="false">
      <c r="A106" s="2" t="s">
        <v>402</v>
      </c>
      <c r="B106" s="3" t="s">
        <v>434</v>
      </c>
      <c r="C106" s="2" t="s">
        <v>435</v>
      </c>
      <c r="D106" s="7" t="s">
        <v>42</v>
      </c>
      <c r="E106" s="2"/>
      <c r="F106" s="2" t="s">
        <v>436</v>
      </c>
      <c r="G106" s="2" t="s">
        <v>437</v>
      </c>
      <c r="H106" s="2" t="s">
        <v>438</v>
      </c>
      <c r="I106" s="2"/>
    </row>
    <row r="107" customFormat="false" ht="15" hidden="false" customHeight="false" outlineLevel="0" collapsed="false">
      <c r="A107" s="2" t="s">
        <v>439</v>
      </c>
      <c r="B107" s="3" t="s">
        <v>440</v>
      </c>
      <c r="C107" s="2" t="s">
        <v>441</v>
      </c>
      <c r="D107" s="4" t="s">
        <v>12</v>
      </c>
      <c r="E107" s="2"/>
      <c r="F107" s="2" t="s">
        <v>14</v>
      </c>
      <c r="G107" s="2" t="s">
        <v>442</v>
      </c>
      <c r="H107" s="2" t="s">
        <v>443</v>
      </c>
      <c r="I107" s="2"/>
    </row>
    <row r="108" customFormat="false" ht="15" hidden="false" customHeight="false" outlineLevel="0" collapsed="false">
      <c r="A108" s="2" t="s">
        <v>439</v>
      </c>
      <c r="B108" s="3" t="s">
        <v>444</v>
      </c>
      <c r="C108" s="2" t="s">
        <v>445</v>
      </c>
      <c r="D108" s="6" t="s">
        <v>19</v>
      </c>
      <c r="E108" s="2"/>
      <c r="F108" s="2" t="s">
        <v>14</v>
      </c>
      <c r="G108" s="2" t="s">
        <v>446</v>
      </c>
      <c r="H108" s="2" t="s">
        <v>447</v>
      </c>
      <c r="I108" s="2"/>
    </row>
    <row r="109" customFormat="false" ht="15" hidden="false" customHeight="false" outlineLevel="0" collapsed="false">
      <c r="A109" s="2" t="s">
        <v>439</v>
      </c>
      <c r="B109" s="3" t="s">
        <v>448</v>
      </c>
      <c r="C109" s="2" t="s">
        <v>449</v>
      </c>
      <c r="D109" s="7" t="s">
        <v>42</v>
      </c>
      <c r="E109" s="2"/>
      <c r="F109" s="2" t="s">
        <v>450</v>
      </c>
      <c r="G109" s="2" t="s">
        <v>451</v>
      </c>
      <c r="H109" s="2" t="s">
        <v>452</v>
      </c>
      <c r="I109" s="2"/>
    </row>
    <row r="110" customFormat="false" ht="15" hidden="false" customHeight="false" outlineLevel="0" collapsed="false">
      <c r="A110" s="2" t="s">
        <v>439</v>
      </c>
      <c r="B110" s="3" t="s">
        <v>453</v>
      </c>
      <c r="C110" s="2" t="s">
        <v>454</v>
      </c>
      <c r="D110" s="6" t="s">
        <v>19</v>
      </c>
      <c r="E110" s="2"/>
      <c r="F110" s="2" t="s">
        <v>14</v>
      </c>
      <c r="G110" s="2" t="s">
        <v>455</v>
      </c>
      <c r="H110" s="2" t="s">
        <v>456</v>
      </c>
      <c r="I110" s="2"/>
    </row>
    <row r="111" customFormat="false" ht="23.85" hidden="false" customHeight="false" outlineLevel="0" collapsed="false">
      <c r="A111" s="2" t="s">
        <v>439</v>
      </c>
      <c r="B111" s="3" t="s">
        <v>457</v>
      </c>
      <c r="C111" s="2" t="s">
        <v>458</v>
      </c>
      <c r="D111" s="6" t="s">
        <v>19</v>
      </c>
      <c r="E111" s="2"/>
      <c r="F111" s="2" t="s">
        <v>14</v>
      </c>
      <c r="G111" s="2" t="s">
        <v>459</v>
      </c>
      <c r="H111" s="2" t="s">
        <v>460</v>
      </c>
      <c r="I111" s="2"/>
    </row>
    <row r="112" customFormat="false" ht="15" hidden="false" customHeight="false" outlineLevel="0" collapsed="false">
      <c r="A112" s="2" t="s">
        <v>439</v>
      </c>
      <c r="B112" s="3" t="s">
        <v>461</v>
      </c>
      <c r="C112" s="2" t="s">
        <v>462</v>
      </c>
      <c r="D112" s="7" t="s">
        <v>42</v>
      </c>
      <c r="E112" s="2"/>
      <c r="F112" s="2" t="s">
        <v>463</v>
      </c>
      <c r="G112" s="2" t="s">
        <v>464</v>
      </c>
      <c r="H112" s="2" t="s">
        <v>465</v>
      </c>
      <c r="I112" s="2"/>
    </row>
    <row r="113" customFormat="false" ht="15" hidden="false" customHeight="false" outlineLevel="0" collapsed="false">
      <c r="A113" s="2" t="s">
        <v>466</v>
      </c>
      <c r="B113" s="3" t="s">
        <v>467</v>
      </c>
      <c r="C113" s="2" t="s">
        <v>468</v>
      </c>
      <c r="D113" s="4" t="s">
        <v>12</v>
      </c>
      <c r="E113" s="2"/>
      <c r="F113" s="2" t="s">
        <v>14</v>
      </c>
      <c r="G113" s="2" t="s">
        <v>342</v>
      </c>
      <c r="H113" s="2" t="s">
        <v>469</v>
      </c>
      <c r="I113" s="2"/>
    </row>
    <row r="114" customFormat="false" ht="23.85" hidden="false" customHeight="false" outlineLevel="0" collapsed="false">
      <c r="A114" s="2" t="s">
        <v>466</v>
      </c>
      <c r="B114" s="3" t="s">
        <v>470</v>
      </c>
      <c r="C114" s="2" t="s">
        <v>471</v>
      </c>
      <c r="D114" s="4" t="s">
        <v>12</v>
      </c>
      <c r="E114" s="2"/>
      <c r="F114" s="2" t="s">
        <v>472</v>
      </c>
      <c r="G114" s="2" t="s">
        <v>473</v>
      </c>
      <c r="H114" s="2" t="s">
        <v>474</v>
      </c>
      <c r="I114" s="2"/>
    </row>
    <row r="115" customFormat="false" ht="23.85" hidden="false" customHeight="false" outlineLevel="0" collapsed="false">
      <c r="A115" s="2" t="s">
        <v>466</v>
      </c>
      <c r="B115" s="3" t="s">
        <v>475</v>
      </c>
      <c r="C115" s="2" t="s">
        <v>476</v>
      </c>
      <c r="D115" s="4" t="s">
        <v>12</v>
      </c>
      <c r="E115" s="2"/>
      <c r="F115" s="2" t="s">
        <v>477</v>
      </c>
      <c r="G115" s="2" t="s">
        <v>478</v>
      </c>
      <c r="H115" s="2" t="s">
        <v>479</v>
      </c>
      <c r="I115" s="2"/>
    </row>
    <row r="116" customFormat="false" ht="15" hidden="false" customHeight="false" outlineLevel="0" collapsed="false">
      <c r="A116" s="2" t="s">
        <v>466</v>
      </c>
      <c r="B116" s="3" t="s">
        <v>480</v>
      </c>
      <c r="C116" s="2" t="s">
        <v>481</v>
      </c>
      <c r="D116" s="6" t="s">
        <v>19</v>
      </c>
      <c r="E116" s="2"/>
      <c r="F116" s="2" t="s">
        <v>477</v>
      </c>
      <c r="G116" s="2" t="s">
        <v>478</v>
      </c>
      <c r="H116" s="2" t="s">
        <v>482</v>
      </c>
      <c r="I116" s="2"/>
    </row>
    <row r="117" customFormat="false" ht="23.85" hidden="false" customHeight="false" outlineLevel="0" collapsed="false">
      <c r="A117" s="2" t="s">
        <v>466</v>
      </c>
      <c r="B117" s="3" t="s">
        <v>483</v>
      </c>
      <c r="C117" s="2" t="s">
        <v>484</v>
      </c>
      <c r="D117" s="6" t="s">
        <v>19</v>
      </c>
      <c r="E117" s="2"/>
      <c r="F117" s="2" t="s">
        <v>14</v>
      </c>
      <c r="G117" s="2" t="s">
        <v>346</v>
      </c>
      <c r="H117" s="2" t="s">
        <v>485</v>
      </c>
      <c r="I117" s="2"/>
    </row>
    <row r="118" customFormat="false" ht="15" hidden="false" customHeight="false" outlineLevel="0" collapsed="false">
      <c r="A118" s="2" t="s">
        <v>466</v>
      </c>
      <c r="B118" s="3" t="s">
        <v>486</v>
      </c>
      <c r="C118" s="2" t="s">
        <v>363</v>
      </c>
      <c r="D118" s="7" t="s">
        <v>42</v>
      </c>
      <c r="E118" s="2"/>
      <c r="F118" s="2" t="s">
        <v>364</v>
      </c>
      <c r="G118" s="2" t="s">
        <v>373</v>
      </c>
      <c r="H118" s="2" t="s">
        <v>487</v>
      </c>
      <c r="I118" s="2"/>
    </row>
    <row r="119" customFormat="false" ht="15" hidden="false" customHeight="false" outlineLevel="0" collapsed="false">
      <c r="A119" s="2" t="s">
        <v>466</v>
      </c>
      <c r="B119" s="3" t="s">
        <v>488</v>
      </c>
      <c r="C119" s="2" t="s">
        <v>489</v>
      </c>
      <c r="D119" s="4" t="s">
        <v>12</v>
      </c>
      <c r="E119" s="2"/>
      <c r="F119" s="2" t="s">
        <v>490</v>
      </c>
      <c r="G119" s="2" t="s">
        <v>491</v>
      </c>
      <c r="H119" s="2" t="s">
        <v>492</v>
      </c>
      <c r="I119" s="2"/>
    </row>
    <row r="120" customFormat="false" ht="15" hidden="false" customHeight="false" outlineLevel="0" collapsed="false">
      <c r="A120" s="2" t="s">
        <v>466</v>
      </c>
      <c r="B120" s="3" t="s">
        <v>493</v>
      </c>
      <c r="C120" s="2" t="s">
        <v>494</v>
      </c>
      <c r="D120" s="6" t="s">
        <v>19</v>
      </c>
      <c r="E120" s="2"/>
      <c r="F120" s="2" t="s">
        <v>490</v>
      </c>
      <c r="G120" s="2" t="s">
        <v>491</v>
      </c>
      <c r="H120" s="2" t="s">
        <v>495</v>
      </c>
      <c r="I120" s="2"/>
    </row>
    <row r="121" customFormat="false" ht="23.85" hidden="false" customHeight="false" outlineLevel="0" collapsed="false">
      <c r="A121" s="2" t="s">
        <v>466</v>
      </c>
      <c r="B121" s="3" t="s">
        <v>496</v>
      </c>
      <c r="C121" s="2" t="s">
        <v>497</v>
      </c>
      <c r="D121" s="7" t="s">
        <v>42</v>
      </c>
      <c r="E121" s="2"/>
      <c r="F121" s="2" t="s">
        <v>14</v>
      </c>
      <c r="G121" s="2" t="s">
        <v>346</v>
      </c>
      <c r="H121" s="2" t="s">
        <v>498</v>
      </c>
      <c r="I121" s="2"/>
    </row>
    <row r="122" customFormat="false" ht="15" hidden="false" customHeight="false" outlineLevel="0" collapsed="false">
      <c r="A122" s="2" t="s">
        <v>466</v>
      </c>
      <c r="B122" s="3" t="s">
        <v>499</v>
      </c>
      <c r="C122" s="2" t="s">
        <v>26</v>
      </c>
      <c r="D122" s="6" t="s">
        <v>19</v>
      </c>
      <c r="E122" s="2"/>
      <c r="F122" s="2" t="s">
        <v>14</v>
      </c>
      <c r="G122" s="2" t="s">
        <v>27</v>
      </c>
      <c r="H122" s="2" t="s">
        <v>162</v>
      </c>
      <c r="I122" s="2"/>
    </row>
    <row r="123" customFormat="false" ht="23.85" hidden="false" customHeight="false" outlineLevel="0" collapsed="false">
      <c r="A123" s="2" t="s">
        <v>466</v>
      </c>
      <c r="B123" s="3" t="s">
        <v>500</v>
      </c>
      <c r="C123" s="2" t="s">
        <v>501</v>
      </c>
      <c r="D123" s="6" t="s">
        <v>19</v>
      </c>
      <c r="E123" s="2"/>
      <c r="F123" s="2" t="s">
        <v>472</v>
      </c>
      <c r="G123" s="2" t="s">
        <v>373</v>
      </c>
      <c r="H123" s="2" t="s">
        <v>502</v>
      </c>
      <c r="I123" s="2"/>
    </row>
    <row r="124" customFormat="false" ht="35.05" hidden="false" customHeight="false" outlineLevel="0" collapsed="false">
      <c r="A124" s="2" t="s">
        <v>503</v>
      </c>
      <c r="B124" s="3" t="s">
        <v>504</v>
      </c>
      <c r="C124" s="2" t="s">
        <v>505</v>
      </c>
      <c r="D124" s="4" t="s">
        <v>12</v>
      </c>
      <c r="E124" s="2"/>
      <c r="F124" s="2" t="s">
        <v>14</v>
      </c>
      <c r="G124" s="2" t="s">
        <v>506</v>
      </c>
      <c r="H124" s="2" t="s">
        <v>507</v>
      </c>
      <c r="I124" s="2"/>
    </row>
    <row r="125" customFormat="false" ht="23.85" hidden="false" customHeight="false" outlineLevel="0" collapsed="false">
      <c r="A125" s="2" t="s">
        <v>503</v>
      </c>
      <c r="B125" s="3" t="s">
        <v>508</v>
      </c>
      <c r="C125" s="2" t="s">
        <v>509</v>
      </c>
      <c r="D125" s="4" t="s">
        <v>12</v>
      </c>
      <c r="E125" s="2"/>
      <c r="F125" s="2" t="s">
        <v>14</v>
      </c>
      <c r="G125" s="2" t="s">
        <v>510</v>
      </c>
      <c r="H125" s="2" t="s">
        <v>511</v>
      </c>
      <c r="I125" s="2"/>
    </row>
    <row r="126" customFormat="false" ht="15" hidden="false" customHeight="false" outlineLevel="0" collapsed="false">
      <c r="A126" s="2" t="s">
        <v>503</v>
      </c>
      <c r="B126" s="3" t="s">
        <v>512</v>
      </c>
      <c r="C126" s="2" t="s">
        <v>513</v>
      </c>
      <c r="D126" s="6" t="s">
        <v>19</v>
      </c>
      <c r="E126" s="2"/>
      <c r="F126" s="2" t="s">
        <v>514</v>
      </c>
      <c r="G126" s="2" t="s">
        <v>515</v>
      </c>
      <c r="H126" s="2" t="s">
        <v>516</v>
      </c>
      <c r="I126" s="2"/>
    </row>
    <row r="127" customFormat="false" ht="15" hidden="false" customHeight="false" outlineLevel="0" collapsed="false">
      <c r="A127" s="2" t="s">
        <v>503</v>
      </c>
      <c r="B127" s="3" t="s">
        <v>517</v>
      </c>
      <c r="C127" s="2" t="s">
        <v>518</v>
      </c>
      <c r="D127" s="6" t="s">
        <v>19</v>
      </c>
      <c r="E127" s="2"/>
      <c r="F127" s="2" t="s">
        <v>519</v>
      </c>
      <c r="G127" s="2" t="s">
        <v>520</v>
      </c>
      <c r="H127" s="2" t="s">
        <v>521</v>
      </c>
      <c r="I127" s="2"/>
    </row>
    <row r="128" customFormat="false" ht="23.85" hidden="false" customHeight="false" outlineLevel="0" collapsed="false">
      <c r="A128" s="2" t="s">
        <v>503</v>
      </c>
      <c r="B128" s="3" t="s">
        <v>522</v>
      </c>
      <c r="C128" s="2" t="s">
        <v>523</v>
      </c>
      <c r="D128" s="4" t="s">
        <v>12</v>
      </c>
      <c r="E128" s="5" t="s">
        <v>13</v>
      </c>
      <c r="F128" s="2" t="s">
        <v>14</v>
      </c>
      <c r="G128" s="2" t="s">
        <v>524</v>
      </c>
      <c r="H128" s="2" t="s">
        <v>525</v>
      </c>
      <c r="I128" s="2"/>
    </row>
    <row r="129" customFormat="false" ht="15" hidden="false" customHeight="false" outlineLevel="0" collapsed="false">
      <c r="A129" s="2" t="s">
        <v>526</v>
      </c>
      <c r="B129" s="3" t="s">
        <v>527</v>
      </c>
      <c r="C129" s="2" t="s">
        <v>528</v>
      </c>
      <c r="D129" s="4" t="s">
        <v>12</v>
      </c>
      <c r="E129" s="5" t="s">
        <v>13</v>
      </c>
      <c r="F129" s="2" t="s">
        <v>14</v>
      </c>
      <c r="G129" s="2" t="s">
        <v>529</v>
      </c>
      <c r="H129" s="2" t="s">
        <v>530</v>
      </c>
      <c r="I129" s="2"/>
    </row>
    <row r="130" customFormat="false" ht="15" hidden="false" customHeight="false" outlineLevel="0" collapsed="false">
      <c r="A130" s="2" t="s">
        <v>526</v>
      </c>
      <c r="B130" s="3" t="s">
        <v>531</v>
      </c>
      <c r="C130" s="2" t="s">
        <v>532</v>
      </c>
      <c r="D130" s="4" t="s">
        <v>12</v>
      </c>
      <c r="E130" s="5" t="s">
        <v>13</v>
      </c>
      <c r="F130" s="2" t="s">
        <v>533</v>
      </c>
      <c r="G130" s="2" t="s">
        <v>534</v>
      </c>
      <c r="H130" s="2" t="s">
        <v>535</v>
      </c>
      <c r="I130" s="2"/>
    </row>
    <row r="131" customFormat="false" ht="15" hidden="false" customHeight="false" outlineLevel="0" collapsed="false">
      <c r="A131" s="2" t="s">
        <v>526</v>
      </c>
      <c r="B131" s="3" t="s">
        <v>536</v>
      </c>
      <c r="C131" s="2" t="s">
        <v>537</v>
      </c>
      <c r="D131" s="4" t="s">
        <v>12</v>
      </c>
      <c r="E131" s="2"/>
      <c r="F131" s="2" t="s">
        <v>538</v>
      </c>
      <c r="G131" s="2" t="s">
        <v>539</v>
      </c>
      <c r="H131" s="2" t="s">
        <v>540</v>
      </c>
      <c r="I131" s="2"/>
    </row>
    <row r="132" customFormat="false" ht="23.85" hidden="false" customHeight="false" outlineLevel="0" collapsed="false">
      <c r="A132" s="2" t="s">
        <v>526</v>
      </c>
      <c r="B132" s="3" t="s">
        <v>541</v>
      </c>
      <c r="C132" s="2" t="s">
        <v>542</v>
      </c>
      <c r="D132" s="6" t="s">
        <v>19</v>
      </c>
      <c r="E132" s="2"/>
      <c r="F132" s="2" t="s">
        <v>543</v>
      </c>
      <c r="G132" s="2" t="s">
        <v>544</v>
      </c>
      <c r="H132" s="2" t="s">
        <v>545</v>
      </c>
      <c r="I132" s="2"/>
    </row>
    <row r="133" customFormat="false" ht="15" hidden="false" customHeight="false" outlineLevel="0" collapsed="false">
      <c r="A133" s="2" t="s">
        <v>526</v>
      </c>
      <c r="B133" s="3" t="s">
        <v>546</v>
      </c>
      <c r="C133" s="2" t="s">
        <v>547</v>
      </c>
      <c r="D133" s="6" t="s">
        <v>19</v>
      </c>
      <c r="E133" s="2"/>
      <c r="F133" s="2" t="s">
        <v>548</v>
      </c>
      <c r="G133" s="2" t="s">
        <v>549</v>
      </c>
      <c r="H133" s="2" t="s">
        <v>550</v>
      </c>
      <c r="I133" s="2"/>
    </row>
    <row r="134" customFormat="false" ht="23.85" hidden="false" customHeight="false" outlineLevel="0" collapsed="false">
      <c r="A134" s="2" t="s">
        <v>526</v>
      </c>
      <c r="B134" s="3" t="s">
        <v>551</v>
      </c>
      <c r="C134" s="2" t="s">
        <v>552</v>
      </c>
      <c r="D134" s="6" t="s">
        <v>19</v>
      </c>
      <c r="E134" s="2"/>
      <c r="F134" s="2" t="s">
        <v>553</v>
      </c>
      <c r="G134" s="2" t="s">
        <v>554</v>
      </c>
      <c r="H134" s="2" t="s">
        <v>555</v>
      </c>
      <c r="I134" s="2"/>
    </row>
    <row r="135" customFormat="false" ht="15" hidden="false" customHeight="false" outlineLevel="0" collapsed="false">
      <c r="A135" s="2" t="s">
        <v>526</v>
      </c>
      <c r="B135" s="3" t="s">
        <v>556</v>
      </c>
      <c r="C135" s="2" t="s">
        <v>557</v>
      </c>
      <c r="D135" s="6" t="s">
        <v>19</v>
      </c>
      <c r="E135" s="5" t="s">
        <v>13</v>
      </c>
      <c r="F135" s="2" t="s">
        <v>14</v>
      </c>
      <c r="G135" s="2" t="s">
        <v>558</v>
      </c>
      <c r="H135" s="2" t="s">
        <v>559</v>
      </c>
      <c r="I135" s="2"/>
    </row>
    <row r="136" customFormat="false" ht="23.85" hidden="false" customHeight="false" outlineLevel="0" collapsed="false">
      <c r="A136" s="2" t="s">
        <v>526</v>
      </c>
      <c r="B136" s="3" t="s">
        <v>560</v>
      </c>
      <c r="C136" s="2" t="s">
        <v>561</v>
      </c>
      <c r="D136" s="7" t="s">
        <v>42</v>
      </c>
      <c r="E136" s="2"/>
      <c r="F136" s="2" t="s">
        <v>14</v>
      </c>
      <c r="G136" s="2" t="s">
        <v>562</v>
      </c>
      <c r="H136" s="2" t="s">
        <v>563</v>
      </c>
      <c r="I136" s="2"/>
    </row>
    <row r="137" customFormat="false" ht="15" hidden="false" customHeight="false" outlineLevel="0" collapsed="false">
      <c r="A137" s="2" t="s">
        <v>526</v>
      </c>
      <c r="B137" s="3" t="s">
        <v>564</v>
      </c>
      <c r="C137" s="2" t="s">
        <v>565</v>
      </c>
      <c r="D137" s="6" t="s">
        <v>19</v>
      </c>
      <c r="E137" s="2"/>
      <c r="F137" s="2" t="s">
        <v>14</v>
      </c>
      <c r="G137" s="2" t="s">
        <v>566</v>
      </c>
      <c r="H137" s="2" t="s">
        <v>567</v>
      </c>
      <c r="I137" s="2"/>
    </row>
    <row r="138" customFormat="false" ht="23.85" hidden="false" customHeight="false" outlineLevel="0" collapsed="false">
      <c r="A138" s="2" t="s">
        <v>526</v>
      </c>
      <c r="B138" s="3" t="s">
        <v>568</v>
      </c>
      <c r="C138" s="2" t="s">
        <v>569</v>
      </c>
      <c r="D138" s="6" t="s">
        <v>19</v>
      </c>
      <c r="E138" s="2"/>
      <c r="F138" s="2" t="s">
        <v>570</v>
      </c>
      <c r="G138" s="2" t="s">
        <v>571</v>
      </c>
      <c r="H138" s="2" t="s">
        <v>572</v>
      </c>
      <c r="I138" s="2"/>
    </row>
    <row r="139" customFormat="false" ht="15" hidden="false" customHeight="false" outlineLevel="0" collapsed="false">
      <c r="A139" s="2" t="s">
        <v>573</v>
      </c>
      <c r="B139" s="3" t="s">
        <v>574</v>
      </c>
      <c r="C139" s="2" t="s">
        <v>575</v>
      </c>
      <c r="D139" s="4" t="s">
        <v>12</v>
      </c>
      <c r="E139" s="5" t="s">
        <v>13</v>
      </c>
      <c r="F139" s="2" t="s">
        <v>576</v>
      </c>
      <c r="G139" s="2" t="s">
        <v>577</v>
      </c>
      <c r="H139" s="2" t="s">
        <v>578</v>
      </c>
      <c r="I139" s="2"/>
    </row>
    <row r="140" customFormat="false" ht="15" hidden="false" customHeight="false" outlineLevel="0" collapsed="false">
      <c r="A140" s="2" t="s">
        <v>573</v>
      </c>
      <c r="B140" s="3" t="s">
        <v>579</v>
      </c>
      <c r="C140" s="2" t="s">
        <v>580</v>
      </c>
      <c r="D140" s="4" t="s">
        <v>12</v>
      </c>
      <c r="E140" s="5" t="s">
        <v>13</v>
      </c>
      <c r="F140" s="2" t="s">
        <v>581</v>
      </c>
      <c r="G140" s="2" t="s">
        <v>582</v>
      </c>
      <c r="H140" s="2" t="s">
        <v>583</v>
      </c>
      <c r="I140" s="2"/>
    </row>
    <row r="141" customFormat="false" ht="15" hidden="false" customHeight="false" outlineLevel="0" collapsed="false">
      <c r="A141" s="2" t="s">
        <v>573</v>
      </c>
      <c r="B141" s="3" t="s">
        <v>584</v>
      </c>
      <c r="C141" s="2" t="s">
        <v>585</v>
      </c>
      <c r="D141" s="6" t="s">
        <v>19</v>
      </c>
      <c r="E141" s="2"/>
      <c r="F141" s="2" t="s">
        <v>586</v>
      </c>
      <c r="G141" s="2" t="s">
        <v>587</v>
      </c>
      <c r="H141" s="2" t="s">
        <v>588</v>
      </c>
      <c r="I141" s="2"/>
    </row>
    <row r="142" customFormat="false" ht="15" hidden="false" customHeight="false" outlineLevel="0" collapsed="false">
      <c r="A142" s="2" t="s">
        <v>573</v>
      </c>
      <c r="B142" s="3" t="s">
        <v>589</v>
      </c>
      <c r="C142" s="2" t="s">
        <v>590</v>
      </c>
      <c r="D142" s="6" t="s">
        <v>19</v>
      </c>
      <c r="E142" s="2"/>
      <c r="F142" s="2" t="s">
        <v>538</v>
      </c>
      <c r="G142" s="2" t="s">
        <v>591</v>
      </c>
      <c r="H142" s="2" t="s">
        <v>592</v>
      </c>
      <c r="I142" s="2"/>
    </row>
    <row r="143" customFormat="false" ht="15" hidden="false" customHeight="false" outlineLevel="0" collapsed="false">
      <c r="A143" s="2" t="s">
        <v>573</v>
      </c>
      <c r="B143" s="3" t="s">
        <v>593</v>
      </c>
      <c r="C143" s="2" t="s">
        <v>594</v>
      </c>
      <c r="D143" s="6" t="s">
        <v>19</v>
      </c>
      <c r="E143" s="2"/>
      <c r="F143" s="2" t="s">
        <v>14</v>
      </c>
      <c r="G143" s="2" t="s">
        <v>595</v>
      </c>
      <c r="H143" s="2" t="s">
        <v>596</v>
      </c>
      <c r="I143" s="2"/>
    </row>
    <row r="144" customFormat="false" ht="23.85" hidden="false" customHeight="false" outlineLevel="0" collapsed="false">
      <c r="A144" s="2" t="s">
        <v>597</v>
      </c>
      <c r="B144" s="3" t="s">
        <v>598</v>
      </c>
      <c r="C144" s="2" t="s">
        <v>599</v>
      </c>
      <c r="D144" s="4" t="s">
        <v>12</v>
      </c>
      <c r="E144" s="2"/>
      <c r="F144" s="2" t="s">
        <v>14</v>
      </c>
      <c r="G144" s="2" t="s">
        <v>600</v>
      </c>
      <c r="H144" s="2" t="s">
        <v>601</v>
      </c>
      <c r="I144" s="2"/>
    </row>
    <row r="145" customFormat="false" ht="15" hidden="false" customHeight="false" outlineLevel="0" collapsed="false">
      <c r="A145" s="2" t="s">
        <v>597</v>
      </c>
      <c r="B145" s="3" t="s">
        <v>602</v>
      </c>
      <c r="C145" s="2" t="s">
        <v>603</v>
      </c>
      <c r="D145" s="4" t="s">
        <v>12</v>
      </c>
      <c r="E145" s="2"/>
      <c r="F145" s="2" t="s">
        <v>604</v>
      </c>
      <c r="G145" s="2" t="s">
        <v>605</v>
      </c>
      <c r="H145" s="2" t="s">
        <v>606</v>
      </c>
      <c r="I145" s="2"/>
    </row>
    <row r="146" customFormat="false" ht="15" hidden="false" customHeight="false" outlineLevel="0" collapsed="false">
      <c r="A146" s="2" t="s">
        <v>597</v>
      </c>
      <c r="B146" s="3" t="s">
        <v>607</v>
      </c>
      <c r="C146" s="2" t="s">
        <v>537</v>
      </c>
      <c r="D146" s="4" t="s">
        <v>12</v>
      </c>
      <c r="E146" s="2"/>
      <c r="F146" s="2" t="s">
        <v>538</v>
      </c>
      <c r="G146" s="2" t="s">
        <v>591</v>
      </c>
      <c r="H146" s="2" t="s">
        <v>608</v>
      </c>
      <c r="I146" s="2"/>
    </row>
    <row r="147" customFormat="false" ht="15" hidden="false" customHeight="false" outlineLevel="0" collapsed="false">
      <c r="A147" s="2" t="s">
        <v>597</v>
      </c>
      <c r="B147" s="3" t="s">
        <v>609</v>
      </c>
      <c r="C147" s="2" t="s">
        <v>610</v>
      </c>
      <c r="D147" s="6" t="s">
        <v>19</v>
      </c>
      <c r="E147" s="2"/>
      <c r="F147" s="2" t="s">
        <v>14</v>
      </c>
      <c r="G147" s="2" t="s">
        <v>611</v>
      </c>
      <c r="H147" s="2" t="s">
        <v>612</v>
      </c>
      <c r="I147" s="2"/>
    </row>
    <row r="148" customFormat="false" ht="15" hidden="false" customHeight="false" outlineLevel="0" collapsed="false">
      <c r="A148" s="2" t="s">
        <v>597</v>
      </c>
      <c r="B148" s="3" t="s">
        <v>613</v>
      </c>
      <c r="C148" s="2" t="s">
        <v>614</v>
      </c>
      <c r="D148" s="6" t="s">
        <v>19</v>
      </c>
      <c r="E148" s="2"/>
      <c r="F148" s="2" t="s">
        <v>586</v>
      </c>
      <c r="G148" s="2" t="s">
        <v>615</v>
      </c>
      <c r="H148" s="2" t="s">
        <v>616</v>
      </c>
      <c r="I148" s="2"/>
    </row>
    <row r="149" customFormat="false" ht="15" hidden="false" customHeight="false" outlineLevel="0" collapsed="false">
      <c r="A149" s="2" t="s">
        <v>597</v>
      </c>
      <c r="B149" s="3" t="s">
        <v>617</v>
      </c>
      <c r="C149" s="2" t="s">
        <v>618</v>
      </c>
      <c r="D149" s="6" t="s">
        <v>19</v>
      </c>
      <c r="E149" s="2"/>
      <c r="F149" s="2" t="s">
        <v>14</v>
      </c>
      <c r="G149" s="2" t="s">
        <v>619</v>
      </c>
      <c r="H149" s="2" t="s">
        <v>596</v>
      </c>
      <c r="I149" s="2"/>
    </row>
    <row r="150" customFormat="false" ht="23.85" hidden="false" customHeight="false" outlineLevel="0" collapsed="false">
      <c r="A150" s="2" t="s">
        <v>620</v>
      </c>
      <c r="B150" s="3" t="s">
        <v>621</v>
      </c>
      <c r="C150" s="2" t="s">
        <v>622</v>
      </c>
      <c r="D150" s="4" t="s">
        <v>12</v>
      </c>
      <c r="E150" s="5" t="s">
        <v>13</v>
      </c>
      <c r="F150" s="2" t="s">
        <v>14</v>
      </c>
      <c r="G150" s="2" t="s">
        <v>623</v>
      </c>
      <c r="H150" s="2" t="s">
        <v>624</v>
      </c>
      <c r="I150" s="2"/>
    </row>
    <row r="151" customFormat="false" ht="23.85" hidden="false" customHeight="false" outlineLevel="0" collapsed="false">
      <c r="A151" s="2" t="s">
        <v>620</v>
      </c>
      <c r="B151" s="3" t="s">
        <v>625</v>
      </c>
      <c r="C151" s="2" t="s">
        <v>626</v>
      </c>
      <c r="D151" s="6" t="s">
        <v>19</v>
      </c>
      <c r="E151" s="2"/>
      <c r="F151" s="2" t="s">
        <v>14</v>
      </c>
      <c r="G151" s="2" t="s">
        <v>623</v>
      </c>
      <c r="H151" s="2" t="s">
        <v>627</v>
      </c>
      <c r="I151" s="2"/>
    </row>
    <row r="152" customFormat="false" ht="15" hidden="false" customHeight="false" outlineLevel="0" collapsed="false">
      <c r="A152" s="2" t="s">
        <v>620</v>
      </c>
      <c r="B152" s="3" t="s">
        <v>628</v>
      </c>
      <c r="C152" s="2" t="s">
        <v>629</v>
      </c>
      <c r="D152" s="6" t="s">
        <v>19</v>
      </c>
      <c r="E152" s="2"/>
      <c r="F152" s="2" t="s">
        <v>630</v>
      </c>
      <c r="G152" s="2" t="s">
        <v>631</v>
      </c>
      <c r="H152" s="2" t="s">
        <v>632</v>
      </c>
      <c r="I152" s="2"/>
    </row>
    <row r="153" customFormat="false" ht="15" hidden="false" customHeight="false" outlineLevel="0" collapsed="false">
      <c r="A153" s="2" t="s">
        <v>620</v>
      </c>
      <c r="B153" s="3" t="s">
        <v>633</v>
      </c>
      <c r="C153" s="2" t="s">
        <v>634</v>
      </c>
      <c r="D153" s="7" t="s">
        <v>42</v>
      </c>
      <c r="E153" s="2"/>
      <c r="F153" s="2" t="s">
        <v>635</v>
      </c>
      <c r="G153" s="2" t="s">
        <v>636</v>
      </c>
      <c r="H153" s="2" t="s">
        <v>637</v>
      </c>
      <c r="I153" s="2"/>
    </row>
    <row r="154" customFormat="false" ht="23.85" hidden="false" customHeight="false" outlineLevel="0" collapsed="false">
      <c r="A154" s="2" t="s">
        <v>620</v>
      </c>
      <c r="B154" s="3" t="s">
        <v>638</v>
      </c>
      <c r="C154" s="2" t="s">
        <v>639</v>
      </c>
      <c r="D154" s="6" t="s">
        <v>19</v>
      </c>
      <c r="E154" s="2"/>
      <c r="F154" s="2" t="s">
        <v>640</v>
      </c>
      <c r="G154" s="2" t="s">
        <v>641</v>
      </c>
      <c r="H154" s="2" t="s">
        <v>642</v>
      </c>
      <c r="I154" s="2"/>
    </row>
    <row r="155" customFormat="false" ht="23.85" hidden="false" customHeight="false" outlineLevel="0" collapsed="false">
      <c r="A155" s="2" t="s">
        <v>643</v>
      </c>
      <c r="B155" s="3" t="s">
        <v>644</v>
      </c>
      <c r="C155" s="2" t="s">
        <v>645</v>
      </c>
      <c r="D155" s="4" t="s">
        <v>12</v>
      </c>
      <c r="E155" s="5" t="s">
        <v>13</v>
      </c>
      <c r="F155" s="2" t="s">
        <v>646</v>
      </c>
      <c r="G155" s="2" t="s">
        <v>647</v>
      </c>
      <c r="H155" s="2" t="s">
        <v>648</v>
      </c>
      <c r="I155" s="2"/>
    </row>
    <row r="156" customFormat="false" ht="23.85" hidden="false" customHeight="false" outlineLevel="0" collapsed="false">
      <c r="A156" s="2" t="s">
        <v>643</v>
      </c>
      <c r="B156" s="3" t="s">
        <v>649</v>
      </c>
      <c r="C156" s="2" t="s">
        <v>650</v>
      </c>
      <c r="D156" s="4" t="s">
        <v>12</v>
      </c>
      <c r="E156" s="5" t="s">
        <v>13</v>
      </c>
      <c r="F156" s="2" t="s">
        <v>651</v>
      </c>
      <c r="G156" s="2" t="s">
        <v>647</v>
      </c>
      <c r="H156" s="2" t="s">
        <v>652</v>
      </c>
      <c r="I156" s="2"/>
    </row>
    <row r="157" customFormat="false" ht="23.85" hidden="false" customHeight="false" outlineLevel="0" collapsed="false">
      <c r="A157" s="2" t="s">
        <v>643</v>
      </c>
      <c r="B157" s="3" t="s">
        <v>653</v>
      </c>
      <c r="C157" s="2" t="s">
        <v>654</v>
      </c>
      <c r="D157" s="6" t="s">
        <v>19</v>
      </c>
      <c r="E157" s="2"/>
      <c r="F157" s="2" t="s">
        <v>14</v>
      </c>
      <c r="G157" s="2" t="s">
        <v>655</v>
      </c>
      <c r="H157" s="2" t="s">
        <v>656</v>
      </c>
      <c r="I157" s="2"/>
    </row>
    <row r="158" customFormat="false" ht="15" hidden="false" customHeight="false" outlineLevel="0" collapsed="false">
      <c r="A158" s="2" t="s">
        <v>643</v>
      </c>
      <c r="B158" s="3" t="s">
        <v>657</v>
      </c>
      <c r="C158" s="2" t="s">
        <v>658</v>
      </c>
      <c r="D158" s="6" t="s">
        <v>19</v>
      </c>
      <c r="E158" s="2"/>
      <c r="F158" s="2" t="s">
        <v>659</v>
      </c>
      <c r="G158" s="2" t="s">
        <v>405</v>
      </c>
      <c r="H158" s="2" t="s">
        <v>660</v>
      </c>
      <c r="I158" s="2"/>
    </row>
    <row r="159" customFormat="false" ht="23.85" hidden="false" customHeight="false" outlineLevel="0" collapsed="false">
      <c r="A159" s="2" t="s">
        <v>643</v>
      </c>
      <c r="B159" s="3" t="s">
        <v>661</v>
      </c>
      <c r="C159" s="2" t="s">
        <v>662</v>
      </c>
      <c r="D159" s="7" t="s">
        <v>42</v>
      </c>
      <c r="E159" s="2"/>
      <c r="F159" s="2" t="s">
        <v>646</v>
      </c>
      <c r="G159" s="2" t="s">
        <v>663</v>
      </c>
      <c r="H159" s="2" t="s">
        <v>664</v>
      </c>
      <c r="I159" s="2"/>
    </row>
    <row r="160" customFormat="false" ht="23.85" hidden="false" customHeight="false" outlineLevel="0" collapsed="false">
      <c r="A160" s="2" t="s">
        <v>643</v>
      </c>
      <c r="B160" s="3" t="s">
        <v>665</v>
      </c>
      <c r="C160" s="2" t="s">
        <v>666</v>
      </c>
      <c r="D160" s="7" t="s">
        <v>42</v>
      </c>
      <c r="E160" s="2"/>
      <c r="F160" s="2" t="s">
        <v>651</v>
      </c>
      <c r="G160" s="2" t="s">
        <v>667</v>
      </c>
      <c r="H160" s="2" t="s">
        <v>668</v>
      </c>
      <c r="I160" s="2"/>
    </row>
    <row r="161" customFormat="false" ht="23.85" hidden="false" customHeight="false" outlineLevel="0" collapsed="false">
      <c r="A161" s="2" t="s">
        <v>669</v>
      </c>
      <c r="B161" s="3" t="s">
        <v>670</v>
      </c>
      <c r="C161" s="2" t="s">
        <v>671</v>
      </c>
      <c r="D161" s="4" t="s">
        <v>12</v>
      </c>
      <c r="E161" s="5" t="s">
        <v>13</v>
      </c>
      <c r="F161" s="2" t="s">
        <v>14</v>
      </c>
      <c r="G161" s="2" t="s">
        <v>672</v>
      </c>
      <c r="H161" s="2" t="s">
        <v>673</v>
      </c>
      <c r="I161" s="2"/>
    </row>
    <row r="162" customFormat="false" ht="15" hidden="false" customHeight="false" outlineLevel="0" collapsed="false">
      <c r="A162" s="2" t="s">
        <v>669</v>
      </c>
      <c r="B162" s="3" t="s">
        <v>674</v>
      </c>
      <c r="C162" s="2" t="s">
        <v>675</v>
      </c>
      <c r="D162" s="4" t="s">
        <v>12</v>
      </c>
      <c r="E162" s="2"/>
      <c r="F162" s="2" t="s">
        <v>477</v>
      </c>
      <c r="G162" s="2" t="s">
        <v>478</v>
      </c>
      <c r="H162" s="2" t="s">
        <v>676</v>
      </c>
      <c r="I162" s="2"/>
    </row>
    <row r="163" customFormat="false" ht="15" hidden="false" customHeight="false" outlineLevel="0" collapsed="false">
      <c r="A163" s="2" t="s">
        <v>669</v>
      </c>
      <c r="B163" s="3" t="s">
        <v>677</v>
      </c>
      <c r="C163" s="2" t="s">
        <v>678</v>
      </c>
      <c r="D163" s="6" t="s">
        <v>19</v>
      </c>
      <c r="E163" s="2"/>
      <c r="F163" s="2" t="s">
        <v>477</v>
      </c>
      <c r="G163" s="2" t="s">
        <v>478</v>
      </c>
      <c r="H163" s="2" t="s">
        <v>679</v>
      </c>
      <c r="I163" s="2"/>
    </row>
    <row r="164" customFormat="false" ht="23.85" hidden="false" customHeight="false" outlineLevel="0" collapsed="false">
      <c r="A164" s="2" t="s">
        <v>669</v>
      </c>
      <c r="B164" s="3" t="s">
        <v>680</v>
      </c>
      <c r="C164" s="2" t="s">
        <v>681</v>
      </c>
      <c r="D164" s="7" t="s">
        <v>42</v>
      </c>
      <c r="E164" s="2"/>
      <c r="F164" s="2" t="s">
        <v>682</v>
      </c>
      <c r="G164" s="2" t="s">
        <v>683</v>
      </c>
      <c r="H164" s="2" t="s">
        <v>684</v>
      </c>
      <c r="I164" s="2"/>
    </row>
    <row r="165" customFormat="false" ht="23.85" hidden="false" customHeight="false" outlineLevel="0" collapsed="false">
      <c r="A165" s="2" t="s">
        <v>685</v>
      </c>
      <c r="B165" s="3" t="s">
        <v>686</v>
      </c>
      <c r="C165" s="2" t="s">
        <v>687</v>
      </c>
      <c r="D165" s="6" t="s">
        <v>19</v>
      </c>
      <c r="E165" s="5" t="s">
        <v>13</v>
      </c>
      <c r="F165" s="2" t="s">
        <v>14</v>
      </c>
      <c r="G165" s="2" t="s">
        <v>688</v>
      </c>
      <c r="H165" s="2" t="s">
        <v>689</v>
      </c>
      <c r="I165" s="2"/>
    </row>
    <row r="166" customFormat="false" ht="15" hidden="false" customHeight="false" outlineLevel="0" collapsed="false">
      <c r="A166" s="2" t="s">
        <v>685</v>
      </c>
      <c r="B166" s="3" t="s">
        <v>690</v>
      </c>
      <c r="C166" s="2" t="s">
        <v>691</v>
      </c>
      <c r="D166" s="7" t="s">
        <v>42</v>
      </c>
      <c r="E166" s="2"/>
      <c r="F166" s="2" t="s">
        <v>692</v>
      </c>
      <c r="G166" s="2" t="s">
        <v>693</v>
      </c>
      <c r="H166" s="2" t="s">
        <v>694</v>
      </c>
      <c r="I166" s="2"/>
    </row>
    <row r="167" customFormat="false" ht="15" hidden="false" customHeight="false" outlineLevel="0" collapsed="false">
      <c r="A167" s="2" t="s">
        <v>695</v>
      </c>
      <c r="B167" s="3" t="s">
        <v>696</v>
      </c>
      <c r="C167" s="2" t="s">
        <v>697</v>
      </c>
      <c r="D167" s="4" t="s">
        <v>12</v>
      </c>
      <c r="E167" s="5" t="s">
        <v>13</v>
      </c>
      <c r="F167" s="2" t="s">
        <v>14</v>
      </c>
      <c r="G167" s="2" t="s">
        <v>698</v>
      </c>
      <c r="H167" s="2" t="s">
        <v>699</v>
      </c>
      <c r="I167" s="2"/>
    </row>
    <row r="168" customFormat="false" ht="15" hidden="false" customHeight="false" outlineLevel="0" collapsed="false">
      <c r="A168" s="2" t="s">
        <v>695</v>
      </c>
      <c r="B168" s="3" t="s">
        <v>700</v>
      </c>
      <c r="C168" s="2" t="s">
        <v>341</v>
      </c>
      <c r="D168" s="4" t="s">
        <v>12</v>
      </c>
      <c r="E168" s="2"/>
      <c r="F168" s="2" t="s">
        <v>701</v>
      </c>
      <c r="G168" s="2" t="s">
        <v>342</v>
      </c>
      <c r="H168" s="2" t="s">
        <v>702</v>
      </c>
      <c r="I168" s="2"/>
    </row>
    <row r="169" customFormat="false" ht="15" hidden="false" customHeight="false" outlineLevel="0" collapsed="false">
      <c r="A169" s="2" t="s">
        <v>695</v>
      </c>
      <c r="B169" s="3" t="s">
        <v>703</v>
      </c>
      <c r="C169" s="2" t="s">
        <v>704</v>
      </c>
      <c r="D169" s="4" t="s">
        <v>12</v>
      </c>
      <c r="E169" s="2"/>
      <c r="F169" s="2" t="s">
        <v>705</v>
      </c>
      <c r="G169" s="2" t="s">
        <v>706</v>
      </c>
      <c r="H169" s="2" t="s">
        <v>707</v>
      </c>
      <c r="I169" s="2"/>
    </row>
    <row r="170" customFormat="false" ht="23.85" hidden="false" customHeight="false" outlineLevel="0" collapsed="false">
      <c r="A170" s="2" t="s">
        <v>695</v>
      </c>
      <c r="B170" s="3" t="s">
        <v>708</v>
      </c>
      <c r="C170" s="2" t="s">
        <v>709</v>
      </c>
      <c r="D170" s="7" t="s">
        <v>42</v>
      </c>
      <c r="E170" s="2"/>
      <c r="F170" s="2" t="s">
        <v>14</v>
      </c>
      <c r="G170" s="2" t="s">
        <v>346</v>
      </c>
      <c r="H170" s="2" t="s">
        <v>710</v>
      </c>
      <c r="I170" s="2"/>
    </row>
    <row r="171" customFormat="false" ht="23.85" hidden="false" customHeight="false" outlineLevel="0" collapsed="false">
      <c r="A171" s="2" t="s">
        <v>695</v>
      </c>
      <c r="B171" s="3" t="s">
        <v>711</v>
      </c>
      <c r="C171" s="2" t="s">
        <v>712</v>
      </c>
      <c r="D171" s="6" t="s">
        <v>19</v>
      </c>
      <c r="E171" s="2"/>
      <c r="F171" s="2" t="s">
        <v>705</v>
      </c>
      <c r="G171" s="2" t="s">
        <v>373</v>
      </c>
      <c r="H171" s="2" t="s">
        <v>713</v>
      </c>
      <c r="I171" s="2"/>
    </row>
    <row r="172" customFormat="false" ht="15" hidden="false" customHeight="false" outlineLevel="0" collapsed="false">
      <c r="A172" s="2" t="s">
        <v>714</v>
      </c>
      <c r="B172" s="3" t="s">
        <v>715</v>
      </c>
      <c r="C172" s="2" t="s">
        <v>716</v>
      </c>
      <c r="D172" s="4" t="s">
        <v>12</v>
      </c>
      <c r="E172" s="5" t="s">
        <v>13</v>
      </c>
      <c r="F172" s="2" t="s">
        <v>14</v>
      </c>
      <c r="G172" s="2" t="s">
        <v>717</v>
      </c>
      <c r="H172" s="2" t="s">
        <v>718</v>
      </c>
      <c r="I172" s="2"/>
    </row>
    <row r="173" customFormat="false" ht="15" hidden="false" customHeight="false" outlineLevel="0" collapsed="false">
      <c r="A173" s="2" t="s">
        <v>714</v>
      </c>
      <c r="B173" s="3" t="s">
        <v>719</v>
      </c>
      <c r="C173" s="2" t="s">
        <v>720</v>
      </c>
      <c r="D173" s="6" t="s">
        <v>19</v>
      </c>
      <c r="E173" s="2"/>
      <c r="F173" s="2" t="s">
        <v>14</v>
      </c>
      <c r="G173" s="2" t="s">
        <v>721</v>
      </c>
      <c r="H173" s="2" t="s">
        <v>722</v>
      </c>
      <c r="I173" s="2"/>
    </row>
    <row r="174" customFormat="false" ht="15" hidden="false" customHeight="false" outlineLevel="0" collapsed="false">
      <c r="A174" s="2" t="s">
        <v>714</v>
      </c>
      <c r="B174" s="3" t="s">
        <v>723</v>
      </c>
      <c r="C174" s="2" t="s">
        <v>724</v>
      </c>
      <c r="D174" s="7" t="s">
        <v>42</v>
      </c>
      <c r="E174" s="2"/>
      <c r="F174" s="2" t="s">
        <v>725</v>
      </c>
      <c r="G174" s="2" t="s">
        <v>726</v>
      </c>
      <c r="H174" s="2" t="s">
        <v>727</v>
      </c>
      <c r="I174" s="2"/>
    </row>
    <row r="175" customFormat="false" ht="15" hidden="false" customHeight="false" outlineLevel="0" collapsed="false">
      <c r="A175" s="2" t="s">
        <v>728</v>
      </c>
      <c r="B175" s="3" t="s">
        <v>729</v>
      </c>
      <c r="C175" s="2" t="s">
        <v>730</v>
      </c>
      <c r="D175" s="4" t="s">
        <v>12</v>
      </c>
      <c r="E175" s="5" t="s">
        <v>13</v>
      </c>
      <c r="F175" s="2" t="s">
        <v>14</v>
      </c>
      <c r="G175" s="2" t="s">
        <v>731</v>
      </c>
      <c r="H175" s="2" t="s">
        <v>732</v>
      </c>
      <c r="I175" s="2"/>
    </row>
    <row r="176" customFormat="false" ht="15" hidden="false" customHeight="false" outlineLevel="0" collapsed="false">
      <c r="A176" s="2" t="s">
        <v>728</v>
      </c>
      <c r="B176" s="3" t="s">
        <v>733</v>
      </c>
      <c r="C176" s="2" t="s">
        <v>734</v>
      </c>
      <c r="D176" s="6" t="s">
        <v>19</v>
      </c>
      <c r="E176" s="2"/>
      <c r="F176" s="2" t="s">
        <v>14</v>
      </c>
      <c r="G176" s="2" t="s">
        <v>721</v>
      </c>
      <c r="H176" s="2" t="s">
        <v>735</v>
      </c>
      <c r="I176" s="2"/>
    </row>
    <row r="177" customFormat="false" ht="35.05" hidden="false" customHeight="false" outlineLevel="0" collapsed="false">
      <c r="A177" s="2" t="s">
        <v>736</v>
      </c>
      <c r="B177" s="3" t="s">
        <v>737</v>
      </c>
      <c r="C177" s="2" t="s">
        <v>738</v>
      </c>
      <c r="D177" s="4" t="s">
        <v>12</v>
      </c>
      <c r="E177" s="2"/>
      <c r="F177" s="2" t="s">
        <v>14</v>
      </c>
      <c r="G177" s="2" t="s">
        <v>15</v>
      </c>
      <c r="H177" s="2" t="s">
        <v>739</v>
      </c>
      <c r="I177" s="2"/>
    </row>
    <row r="178" customFormat="false" ht="15" hidden="false" customHeight="false" outlineLevel="0" collapsed="false">
      <c r="A178" s="2" t="s">
        <v>736</v>
      </c>
      <c r="B178" s="3" t="s">
        <v>740</v>
      </c>
      <c r="C178" s="2" t="s">
        <v>741</v>
      </c>
      <c r="D178" s="6" t="s">
        <v>19</v>
      </c>
      <c r="E178" s="2"/>
      <c r="F178" s="2" t="s">
        <v>586</v>
      </c>
      <c r="G178" s="2" t="s">
        <v>742</v>
      </c>
      <c r="H178" s="2" t="s">
        <v>735</v>
      </c>
      <c r="I178" s="2"/>
    </row>
    <row r="179" customFormat="false" ht="15" hidden="false" customHeight="false" outlineLevel="0" collapsed="false">
      <c r="A179" s="2" t="s">
        <v>736</v>
      </c>
      <c r="B179" s="3" t="s">
        <v>743</v>
      </c>
      <c r="C179" s="2" t="s">
        <v>561</v>
      </c>
      <c r="D179" s="7" t="s">
        <v>42</v>
      </c>
      <c r="E179" s="2"/>
      <c r="F179" s="2" t="s">
        <v>744</v>
      </c>
      <c r="G179" s="2" t="s">
        <v>562</v>
      </c>
      <c r="H179" s="2" t="s">
        <v>745</v>
      </c>
      <c r="I179" s="2"/>
    </row>
    <row r="180" customFormat="false" ht="23.85" hidden="false" customHeight="false" outlineLevel="0" collapsed="false">
      <c r="A180" s="2" t="s">
        <v>746</v>
      </c>
      <c r="B180" s="3" t="s">
        <v>747</v>
      </c>
      <c r="C180" s="2" t="s">
        <v>748</v>
      </c>
      <c r="D180" s="7" t="s">
        <v>42</v>
      </c>
      <c r="E180" s="2"/>
      <c r="F180" s="2" t="s">
        <v>749</v>
      </c>
      <c r="G180" s="2" t="s">
        <v>750</v>
      </c>
      <c r="H180" s="2" t="s">
        <v>751</v>
      </c>
      <c r="I180" s="2"/>
    </row>
    <row r="181" customFormat="false" ht="23.85" hidden="false" customHeight="false" outlineLevel="0" collapsed="false">
      <c r="A181" s="2" t="s">
        <v>746</v>
      </c>
      <c r="B181" s="3" t="s">
        <v>752</v>
      </c>
      <c r="C181" s="2" t="s">
        <v>753</v>
      </c>
      <c r="D181" s="7" t="s">
        <v>42</v>
      </c>
      <c r="E181" s="2"/>
      <c r="F181" s="2" t="s">
        <v>749</v>
      </c>
      <c r="G181" s="2" t="s">
        <v>754</v>
      </c>
      <c r="H181" s="2" t="s">
        <v>755</v>
      </c>
      <c r="I181" s="2"/>
    </row>
    <row r="182" spans="1:9">
      <c r="A182" t="s">
        <v>768</v>
      </c>
      <c r="B182" t="s">
        <v>769</v>
      </c>
      <c r="C182" t="s">
        <v>770</v>
      </c>
      <c r="D182" t="s">
        <v>12</v>
      </c>
      <c r="F182" t="s">
        <v>14</v>
      </c>
      <c r="G182" t="s">
        <v>771</v>
      </c>
      <c r="H182" t="s">
        <v>772</v>
      </c>
    </row>
    <row r="183" spans="1:9">
      <c r="A183" t="s">
        <v>768</v>
      </c>
      <c r="B183" t="s">
        <v>773</v>
      </c>
      <c r="C183" t="s">
        <v>235</v>
      </c>
      <c r="D183" t="s">
        <v>19</v>
      </c>
      <c r="F183" t="s">
        <v>14</v>
      </c>
      <c r="G183" t="s">
        <v>771</v>
      </c>
      <c r="H183" t="s">
        <v>774</v>
      </c>
    </row>
    <row r="184" spans="1:9">
      <c r="A184" t="s">
        <v>768</v>
      </c>
      <c r="B184" t="s">
        <v>775</v>
      </c>
      <c r="C184" t="s">
        <v>238</v>
      </c>
      <c r="D184" t="s">
        <v>19</v>
      </c>
      <c r="F184" t="s">
        <v>14</v>
      </c>
      <c r="G184" t="s">
        <v>776</v>
      </c>
      <c r="H184" t="s">
        <v>777</v>
      </c>
    </row>
    <row r="185" spans="1:9">
      <c r="A185" t="s">
        <v>768</v>
      </c>
      <c r="B185" t="s">
        <v>778</v>
      </c>
      <c r="C185" t="s">
        <v>358</v>
      </c>
      <c r="D185" t="s">
        <v>19</v>
      </c>
      <c r="F185" t="s">
        <v>359</v>
      </c>
      <c r="G185" t="s">
        <v>779</v>
      </c>
      <c r="H185" t="s">
        <v>780</v>
      </c>
    </row>
    <row r="186" spans="1:9">
      <c r="A186" t="s">
        <v>768</v>
      </c>
      <c r="B186" t="s">
        <v>781</v>
      </c>
      <c r="C186" t="s">
        <v>363</v>
      </c>
      <c r="D186" t="s">
        <v>42</v>
      </c>
      <c r="F186" t="s">
        <v>782</v>
      </c>
      <c r="G186" t="s">
        <v>783</v>
      </c>
      <c r="H186" t="s">
        <v>784</v>
      </c>
    </row>
    <row r="187" spans="1:9">
      <c r="A187" t="s">
        <v>768</v>
      </c>
      <c r="B187" t="s">
        <v>785</v>
      </c>
      <c r="C187" t="s">
        <v>786</v>
      </c>
      <c r="D187" t="s">
        <v>12</v>
      </c>
      <c r="E187" t="s">
        <v>13</v>
      </c>
      <c r="F187" t="s">
        <v>782</v>
      </c>
      <c r="G187" t="s">
        <v>787</v>
      </c>
      <c r="H187" t="s">
        <v>788</v>
      </c>
    </row>
    <row r="188" spans="1:9">
      <c r="A188" t="s">
        <v>768</v>
      </c>
      <c r="B188" t="s">
        <v>789</v>
      </c>
      <c r="C188" t="s">
        <v>372</v>
      </c>
      <c r="D188" t="s">
        <v>19</v>
      </c>
      <c r="F188" t="s">
        <v>782</v>
      </c>
      <c r="G188" t="s">
        <v>790</v>
      </c>
      <c r="H188" t="s">
        <v>791</v>
      </c>
    </row>
    <row r="189" spans="1:9">
      <c r="A189" t="s">
        <v>768</v>
      </c>
      <c r="B189" t="s">
        <v>792</v>
      </c>
      <c r="C189" t="s">
        <v>348</v>
      </c>
      <c r="D189" t="s">
        <v>19</v>
      </c>
      <c r="F189" t="s">
        <v>349</v>
      </c>
      <c r="G189" t="s">
        <v>350</v>
      </c>
      <c r="H189" t="s">
        <v>793</v>
      </c>
    </row>
    <row r="190" spans="1:9">
      <c r="A190" t="s">
        <v>768</v>
      </c>
      <c r="B190" t="s">
        <v>794</v>
      </c>
      <c r="C190" t="s">
        <v>795</v>
      </c>
      <c r="D190" t="s">
        <v>42</v>
      </c>
      <c r="F190" t="s">
        <v>354</v>
      </c>
      <c r="G190" t="s">
        <v>355</v>
      </c>
      <c r="H190" t="s">
        <v>796</v>
      </c>
    </row>
    <row r="191" spans="1:9">
      <c r="A191" t="s">
        <v>768</v>
      </c>
      <c r="B191" t="s">
        <v>797</v>
      </c>
      <c r="C191" t="s">
        <v>798</v>
      </c>
      <c r="D191" t="s">
        <v>42</v>
      </c>
      <c r="F191" t="s">
        <v>354</v>
      </c>
      <c r="G191" t="s">
        <v>350</v>
      </c>
      <c r="H191" t="s">
        <v>799</v>
      </c>
    </row>
    <row r="192" spans="1:9">
      <c r="A192" t="s">
        <v>768</v>
      </c>
      <c r="B192" t="s">
        <v>800</v>
      </c>
      <c r="C192" t="s">
        <v>801</v>
      </c>
      <c r="D192" t="s">
        <v>19</v>
      </c>
      <c r="F192" t="s">
        <v>802</v>
      </c>
      <c r="G192" t="s">
        <v>802</v>
      </c>
      <c r="H192" t="s">
        <v>803</v>
      </c>
    </row>
    <row r="193" spans="1:9">
      <c r="A193" t="s">
        <v>768</v>
      </c>
      <c r="B193" t="s">
        <v>804</v>
      </c>
      <c r="C193" t="s">
        <v>805</v>
      </c>
      <c r="D193" t="s">
        <v>42</v>
      </c>
      <c r="F193" t="s">
        <v>806</v>
      </c>
      <c r="G193" t="s">
        <v>807</v>
      </c>
      <c r="H193" t="s">
        <v>808</v>
      </c>
    </row>
  </sheetData>
  <autoFilter ref="A1:I18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C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95"/>
    <col collapsed="false" customWidth="true" hidden="false" outlineLevel="0" max="3" min="3" style="0" width="10"/>
  </cols>
  <sheetData>
    <row r="1" customFormat="false" ht="26.85" hidden="false" customHeight="false" outlineLevel="0" collapsed="false">
      <c r="B1" s="9" t="s">
        <v>756</v>
      </c>
    </row>
    <row r="2" customFormat="false" ht="15" hidden="false" customHeight="false" outlineLevel="0" collapsed="false">
      <c r="B2" s="10"/>
    </row>
    <row r="3" customFormat="false" ht="15" hidden="false" customHeight="false" outlineLevel="0" collapsed="false">
      <c r="B3" s="10" t="s">
        <v>757</v>
      </c>
    </row>
    <row r="4" customFormat="false" ht="15" hidden="false" customHeight="false" outlineLevel="0" collapsed="false">
      <c r="B4" s="10" t="s">
        <v>758</v>
      </c>
    </row>
    <row r="5" customFormat="false" ht="15" hidden="false" customHeight="false" outlineLevel="0" collapsed="false">
      <c r="B5" s="10" t="s">
        <v>759</v>
      </c>
    </row>
    <row r="6" customFormat="false" ht="15" hidden="false" customHeight="false" outlineLevel="0" collapsed="false">
      <c r="B6" s="10"/>
    </row>
    <row r="7" customFormat="false" ht="15" hidden="false" customHeight="false" outlineLevel="0" collapsed="false">
      <c r="B7" s="10" t="s">
        <v>760</v>
      </c>
    </row>
    <row r="8" customFormat="false" ht="15" hidden="false" customHeight="false" outlineLevel="0" collapsed="false">
      <c r="B8" s="10" t="s">
        <v>761</v>
      </c>
    </row>
    <row r="9" customFormat="false" ht="23.85" hidden="false" customHeight="false" outlineLevel="0" collapsed="false">
      <c r="B9" s="10" t="s">
        <v>762</v>
      </c>
    </row>
    <row r="10" customFormat="false" ht="23.85" hidden="false" customHeight="false" outlineLevel="0" collapsed="false">
      <c r="B10" s="10" t="s">
        <v>763</v>
      </c>
    </row>
    <row r="11" customFormat="false" ht="15" hidden="false" customHeight="false" outlineLevel="0" collapsed="false">
      <c r="B11" s="10"/>
    </row>
    <row r="12" customFormat="false" ht="15" hidden="false" customHeight="false" outlineLevel="0" collapsed="false">
      <c r="B12" s="9" t="s">
        <v>764</v>
      </c>
    </row>
    <row r="13" customFormat="false" ht="15" hidden="false" customHeight="false" outlineLevel="0" collapsed="false">
      <c r="B13" s="11" t="s">
        <v>765</v>
      </c>
      <c r="C13" s="12" t="n">
        <f aca="false">COUNTA('Fault Tables'!B2:B181)</f>
        <v>180</v>
      </c>
    </row>
    <row r="14" customFormat="false" ht="15" hidden="false" customHeight="false" outlineLevel="0" collapsed="false">
      <c r="B14" s="11" t="s">
        <v>12</v>
      </c>
      <c r="C14" s="12" t="n">
        <f aca="false">COUNTIF('Fault Tables'!D2:D181,"Critical")</f>
        <v>39</v>
      </c>
    </row>
    <row r="15" customFormat="false" ht="15" hidden="false" customHeight="false" outlineLevel="0" collapsed="false">
      <c r="B15" s="11" t="s">
        <v>19</v>
      </c>
      <c r="C15" s="12" t="n">
        <f aca="false">COUNTIF('Fault Tables'!D2:D181,"Warning")</f>
        <v>93</v>
      </c>
    </row>
    <row r="16" customFormat="false" ht="15" hidden="false" customHeight="false" outlineLevel="0" collapsed="false">
      <c r="B16" s="11" t="s">
        <v>42</v>
      </c>
      <c r="C16" s="12" t="n">
        <f aca="false">COUNTIF('Fault Tables'!D2:D181,"Alert")</f>
        <v>44</v>
      </c>
    </row>
    <row r="17" customFormat="false" ht="15" hidden="false" customHeight="false" outlineLevel="0" collapsed="false">
      <c r="B17" s="11" t="s">
        <v>186</v>
      </c>
      <c r="C17" s="12" t="n">
        <f aca="false">COUNTIF('Fault Tables'!D2:D181,"Info")</f>
        <v>4</v>
      </c>
    </row>
    <row r="18" customFormat="false" ht="15" hidden="false" customHeight="false" outlineLevel="0" collapsed="false">
      <c r="B18" s="11" t="s">
        <v>766</v>
      </c>
      <c r="C18" s="12" t="n">
        <f aca="false">COUNTIF('Fault Tables'!E2:E181,"Y")</f>
        <v>17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2026-06-12T04:56:13Z</dcterms:created>
  <dc:creator>openpyxl</dc:creator>
  <dc:description/>
  <dc:language>en-US</dc:language>
  <cp:lastModifiedBy/>
  <dcterms:modified xsi:type="dcterms:W3CDTF">2026-06-12T04:56:13Z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